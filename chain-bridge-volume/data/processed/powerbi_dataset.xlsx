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Chain Volumes" sheetId="1" state="visible" r:id="rId3"/>
    <sheet name="Daily Protocol Volumes" sheetId="2" state="visible" r:id="rId4"/>
    <sheet name="Monthly Summary" sheetId="3" state="visible" r:id="rId5"/>
    <sheet name="Market Concentration" sheetId="4" state="visible" r:id="rId6"/>
    <sheet name="Growth Analysis" sheetId="5" state="visible" r:id="rId7"/>
    <sheet name="Messaging vs Bridge" sheetId="6" state="visible" r:id="rId8"/>
    <sheet name="Fee Revenue Modeling" sheetId="7" state="visible" r:id="rId9"/>
    <sheet name="Net Capital Flows" sheetId="8" state="visible" r:id="rId10"/>
    <sheet name="PowerBI Instructions" sheetId="9" state="visible" r:id="rId11"/>
  </sheets>
  <definedNames>
    <definedName function="false" hidden="true" localSheetId="0" name="_xlnm._FilterDatabase" vbProcedure="false">'Daily Chain Volumes'!$A$1:$K$182</definedName>
    <definedName function="false" hidden="true" localSheetId="1" name="_xlnm._FilterDatabase" vbProcedure="false">'Daily Protocol Volumes'!$A$1:$Q$182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<sst xmlns="http://schemas.openxmlformats.org/spreadsheetml/2006/main" count="588" uniqueCount="310">
  <si>
    <t xml:space="preserve">Date</t>
  </si>
  <si>
    <t xml:space="preserve">Ethereum</t>
  </si>
  <si>
    <t xml:space="preserve">Arbitrum</t>
  </si>
  <si>
    <t xml:space="preserve">Avalanche</t>
  </si>
  <si>
    <t xml:space="preserve">Solana</t>
  </si>
  <si>
    <t xml:space="preserve">BSC</t>
  </si>
  <si>
    <t xml:space="preserve">Sei</t>
  </si>
  <si>
    <t xml:space="preserve">Optimism</t>
  </si>
  <si>
    <t xml:space="preserve">Polygon</t>
  </si>
  <si>
    <t xml:space="preserve">Sui</t>
  </si>
  <si>
    <t xml:space="preserve">Sonic</t>
  </si>
  <si>
    <t xml:space="preserve">2025-01-01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</si>
  <si>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</si>
  <si>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</si>
  <si>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</si>
  <si>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</si>
  <si>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</si>
  <si>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</si>
  <si>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</si>
  <si>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</si>
  <si>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</si>
  <si>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</si>
  <si>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</si>
  <si>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</si>
  <si>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</si>
  <si>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</si>
  <si>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</si>
  <si>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</si>
  <si>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</si>
  <si>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</si>
  <si>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</si>
  <si>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</si>
  <si>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</si>
  <si>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</si>
  <si>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</si>
  <si>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</si>
  <si>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</si>
  <si>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</si>
  <si>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</si>
  <si>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</si>
  <si>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</si>
  <si>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</si>
  <si>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</si>
  <si>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</si>
  <si>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</si>
  <si>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</si>
  <si>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</si>
  <si>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</si>
  <si>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</si>
  <si>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</si>
  <si>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</si>
  <si>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</si>
  <si>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</si>
  <si>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</si>
  <si>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</si>
  <si>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</si>
  <si>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</si>
  <si>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</si>
  <si>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</si>
  <si>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</si>
  <si>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</si>
  <si>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</si>
  <si>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</si>
  <si>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</si>
  <si>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</si>
  <si>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</si>
  <si>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</si>
  <si>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</si>
  <si>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</si>
  <si>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</si>
  <si>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</si>
  <si>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</si>
  <si>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</si>
  <si>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</si>
  <si>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</si>
  <si>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</si>
  <si>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</si>
  <si>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</si>
  <si>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</si>
  <si>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</si>
  <si>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</si>
  <si>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</si>
  <si>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</si>
  <si>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</si>
  <si>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</si>
  <si>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</si>
  <si>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</si>
  <si>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</si>
  <si>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</si>
  <si>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</si>
  <si>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</si>
  <si>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</si>
  <si>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</si>
  <si>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</si>
  <si>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</si>
  <si>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</si>
  <si>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</si>
  <si>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</si>
  <si>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</si>
  <si>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</si>
  <si>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</si>
  <si>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</si>
  <si>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</si>
  <si>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</si>
  <si>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</si>
  <si>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</si>
  <si>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</si>
  <si>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</si>
  <si>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</si>
  <si>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</si>
  <si>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</si>
  <si>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</si>
  <si>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</si>
  <si>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</si>
  <si>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</si>
  <si>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</si>
  <si>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</si>
  <si>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</si>
  <si>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</si>
  <si>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</si>
  <si>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</si>
  <si>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</si>
  <si>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</si>
  <si>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</si>
  <si>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</si>
  <si>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</si>
  <si>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</si>
  <si>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</si>
  <si>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</si>
  <si>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</si>
  <si>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</si>
  <si>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</si>
  <si>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</si>
  <si>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</si>
  <si>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</si>
  <si>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</si>
  <si>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</si>
  <si>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</si>
  <si>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</si>
  <si>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</si>
  <si>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</si>
  <si>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</si>
  <si>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</si>
  <si>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</si>
  <si>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</si>
  <si>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</si>
  <si>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</si>
  <si>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</si>
  <si>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</si>
  <si>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</si>
  <si>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</si>
  <si>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</si>
  <si>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</si>
  <si>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</si>
  <si>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</si>
  <si>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</si>
  <si>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</si>
  <si>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</si>
  <si>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</si>
  <si>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</si>
  <si>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</si>
  <si>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</si>
  <si>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</si>
  <si>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</si>
  <si>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</si>
  <si>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</si>
  <si>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</si>
  <si>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</si>
  <si>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</si>
  <si>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</si>
  <si>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</si>
  <si>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</si>
  <si>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</si>
  <si>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</si>
  <si>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</si>
  <si>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</si>
  <si>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</si>
  <si>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</si>
  <si>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</si>
  <si>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</si>
  <si>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</si>
  <si>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</si>
  <si>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</si>
  <si>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</si>
  <si>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</si>
  <si>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</si>
  <si>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</si>
  <si>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</si>
  <si>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</si>
  <si>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</si>
  <si>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</si>
  <si>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</si>
  <si>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LayerZero</t>
  </si>
  <si>
    <t xml:space="preserve">Circle CCTP</t>
  </si>
  <si>
    <t xml:space="preserve">Hyperliquid</t>
  </si>
  <si>
    <t xml:space="preserve">Stargate</t>
  </si>
  <si>
    <t xml:space="preserve">Wormhole</t>
  </si>
  <si>
    <t xml:space="preserve">Across</t>
  </si>
  <si>
    <t xml:space="preserve">Meson</t>
  </si>
  <si>
    <t xml:space="preserve">deBridge</t>
  </si>
  <si>
    <t xml:space="preserve">IBC</t>
  </si>
  <si>
    <t xml:space="preserve">Arbitrum Bridge</t>
  </si>
  <si>
    <t xml:space="preserve">Squid (Powered by Axelar)</t>
  </si>
  <si>
    <t xml:space="preserve">Polygon PoS Bridge</t>
  </si>
  <si>
    <t xml:space="preserve">USDT0</t>
  </si>
  <si>
    <t xml:space="preserve">Optimism Gateway</t>
  </si>
  <si>
    <t xml:space="preserve">Orbiter Finance</t>
  </si>
  <si>
    <t xml:space="preserve">Total</t>
  </si>
  <si>
    <t xml:space="preserve">Monthly Chain Volumes ($)</t>
  </si>
  <si>
    <t xml:space="preserve">Chain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</si>
  <si>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</si>
  <si>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</si>
  <si>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</si>
  <si>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</si>
  <si>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</si>
  <si>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</si>
  <si>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H1 Total</t>
  </si>
  <si>
    <t xml:space="preserve">Monthly Market Total ($)</t>
  </si>
  <si>
    <t xml:space="preserve">Month</t>
  </si>
  <si>
    <t xml:space="preserve">Total Volume ($)</t>
  </si>
  <si>
    <t xml:space="preserve">MoM Change (%)</t>
  </si>
  <si>
    <t xml:space="preserve">HHI Index</t>
  </si>
  <si>
    <t xml:space="preserve">Top 3 Share (%)</t>
  </si>
  <si>
    <t xml:space="preserve">Concentration Level</t>
  </si>
  <si>
    <t xml:space="preserve">Highly Concentrated</t>
  </si>
  <si>
    <t xml:space="preserve">Q1 Volume ($)</t>
  </si>
  <si>
    <t xml:space="preserve">Q2 Volume ($)</t>
  </si>
  <si>
    <t xml:space="preserve">Growth Rate (%)</t>
  </si>
  <si>
    <t xml:space="preserve">Trend</t>
  </si>
  <si>
    <t xml:space="preserve">Growing</t>
  </si>
  <si>
    <t xml:space="preserve">Declining</t>
  </si>
  <si>
    <t xml:space="preserve">Scroll</t>
  </si>
  <si>
    <t xml:space="preserve">Linea</t>
  </si>
  <si>
    <t xml:space="preserve">Blast</t>
  </si>
  <si>
    <t xml:space="preserve">Category</t>
  </si>
  <si>
    <t xml:space="preserve">H1 2025 Volume ($)</t>
  </si>
  <si>
    <t xml:space="preserve">Share (%)</t>
  </si>
  <si>
    <t xml:space="preserve">Messaging Protocols</t>
  </si>
  <si>
    <t xml:space="preserve">Bridge Protocols</t>
  </si>
  <si>
    <t xml:space="preserve">Messaging Protocol Breakdown</t>
  </si>
  <si>
    <t xml:space="preserve">Protocol</t>
  </si>
  <si>
    <t xml:space="preserve">Hyperlane</t>
  </si>
  <si>
    <t xml:space="preserve">Fee Revenue Scenario Analysis</t>
  </si>
  <si>
    <t xml:space="preserve">Fee Rate (bps)</t>
  </si>
  <si>
    <t xml:space="preserve">Fee Rate (%)</t>
  </si>
  <si>
    <t xml:space="preserve">H1 Total Fee ($)</t>
  </si>
  <si>
    <t xml:space="preserve">Messaging Fee ($)</t>
  </si>
  <si>
    <t xml:space="preserve">Bridge Fee ($)</t>
  </si>
  <si>
    <t xml:space="preserve">Annualized Fee ($)</t>
  </si>
  <si>
    <t xml:space="preserve">Monthly Fee Revenue at 3 bps</t>
  </si>
  <si>
    <t xml:space="preserve">Fee at 3 bps ($)</t>
  </si>
  <si>
    <t xml:space="preserve">Annualized ($)</t>
  </si>
  <si>
    <t xml:space="preserve">Net Flow ($)</t>
  </si>
  <si>
    <t xml:space="preserve">Direction</t>
  </si>
  <si>
    <t xml:space="preserve">Inflow</t>
  </si>
  <si>
    <t xml:space="preserve">Secret</t>
  </si>
  <si>
    <t xml:space="preserve">Soneium</t>
  </si>
  <si>
    <t xml:space="preserve">Fantom</t>
  </si>
  <si>
    <t xml:space="preserve">Zircuit</t>
  </si>
  <si>
    <t xml:space="preserve">Outflow</t>
  </si>
  <si>
    <t xml:space="preserve">Taiko</t>
  </si>
  <si>
    <t xml:space="preserve">Kujira</t>
  </si>
  <si>
    <t xml:space="preserve">Flow</t>
  </si>
  <si>
    <t xml:space="preserve">Cross-Chain Bridge Volume - PowerBI Setup Guide</t>
  </si>
  <si>
    <t xml:space="preserve">STEP 1: IMPORT DATA</t>
  </si>
  <si>
    <t xml:space="preserve">Open Power BI Desktop &gt; Get Data &gt; Excel Workbook &gt; select this file</t>
  </si>
  <si>
    <t xml:space="preserve">Select all sheets except this instructions sheet &gt; Load</t>
  </si>
  <si>
    <t xml:space="preserve">STEP 2: DATA MODEL (Relationships)</t>
  </si>
  <si>
    <t xml:space="preserve">No relationships needed between sheets - each sheet is self-contained</t>
  </si>
  <si>
    <t xml:space="preserve">For date-based filtering across sheets, create a Date dimension table:</t>
  </si>
  <si>
    <t xml:space="preserve">  New Table &gt; Calendar = CALENDARAUTO()</t>
  </si>
  <si>
    <t xml:space="preserve">  Link Date columns from each sheet to Calendar table</t>
  </si>
  <si>
    <t xml:space="preserve">STEP 3: RECOMMENDED VISUALS</t>
  </si>
  <si>
    <t xml:space="preserve">Page 1 - Executive Overview:</t>
  </si>
  <si>
    <t xml:space="preserve">  Card: Total Volume (from Monthly Summary sheet, sum of Total Volume)</t>
  </si>
  <si>
    <t xml:space="preserve">  Card: Messaging Share (from Messaging vs Bridge sheet)</t>
  </si>
  <si>
    <t xml:space="preserve">  Card: Avg HHI (from Market Concentration sheet)</t>
  </si>
  <si>
    <t xml:space="preserve">  Donut chart: Top 10 chains by volume (Daily Chain Volumes, sum each chain)</t>
  </si>
  <si>
    <t xml:space="preserve">  Line chart: Monthly total volume trend (Monthly Summary sheet)</t>
  </si>
  <si>
    <t xml:space="preserve">Page 2 - Chain Analysis:</t>
  </si>
  <si>
    <t xml:space="preserve">  Stacked bar: Monthly chain volumes (Monthly Summary sheet)</t>
  </si>
  <si>
    <t xml:space="preserve">  Bar chart: Net capital flows (Net Capital Flows sheet)</t>
  </si>
  <si>
    <t xml:space="preserve">  Clustered bar: Q1 vs Q2 growth (Growth Analysis sheet)</t>
  </si>
  <si>
    <t xml:space="preserve">Page 3 - Protocol Analysis:</t>
  </si>
  <si>
    <t xml:space="preserve">  Bar chart: Top 15 protocols (sum from Daily Protocol Volumes)</t>
  </si>
  <si>
    <t xml:space="preserve">  Pie chart: Messaging vs Bridge split (Messaging vs Bridge sheet)</t>
  </si>
  <si>
    <t xml:space="preserve">  Line chart: Monthly messaging protocol trends (Messaging vs Bridge sheet)</t>
  </si>
  <si>
    <t xml:space="preserve">Page 4 - Market Concentration:</t>
  </si>
  <si>
    <t xml:space="preserve">  Dual-axis line: HHI index and Top 3 share over time</t>
  </si>
  <si>
    <t xml:space="preserve">  KPI card: Average HHI with conditional formatting</t>
  </si>
  <si>
    <t xml:space="preserve">Page 5 - Fee Revenue:</t>
  </si>
  <si>
    <t xml:space="preserve">  Matrix: Fee scenarios by bps rate (Fee Revenue Modeling sheet)</t>
  </si>
  <si>
    <t xml:space="preserve">  Line chart: Monthly fee trends at 3 bps</t>
  </si>
  <si>
    <t xml:space="preserve">  Card: Annualized TAM at 3 bps</t>
  </si>
  <si>
    <t xml:space="preserve">STEP 4: FORMATTING</t>
  </si>
  <si>
    <t xml:space="preserve">  Color palette: Green (#064E3B primary), Gray (#6B7280), White (#FFFFFF)</t>
  </si>
  <si>
    <t xml:space="preserve">  Accent greens: #059669, #10B981, #34D399, #6EE7B7, #A7F3D0</t>
  </si>
  <si>
    <t xml:space="preserve">  Font: Segoe UI or Arial</t>
  </si>
  <si>
    <t xml:space="preserve">  Background: #F9FAFB (light gray)</t>
  </si>
  <si>
    <t xml:space="preserve">STEP 5: DAX MEASURES (create in Modeling &gt; New Measure)</t>
  </si>
  <si>
    <t xml:space="preserve">  Total Volume = SUM(Daily Chain Volumes[Ethereum]) + SUM(...)</t>
  </si>
  <si>
    <t xml:space="preserve">  Or use Monthly Summary sheet totals directly</t>
  </si>
  <si>
    <t xml:space="preserve">  Messaging Share = DIVIDE([Messaging Total], [Grand Total])</t>
  </si>
  <si>
    <t xml:space="preserve">  QoQ Growth = DIVIDE([Q2 Vol] - [Q1 Vol], [Q1 Vol])</t>
  </si>
  <si>
    <t xml:space="preserve">NOTES:</t>
  </si>
  <si>
    <t xml:space="preserve">  Data period: H1 2025 (January 1 - June 30, 2025)</t>
  </si>
  <si>
    <t xml:space="preserve">  All volumes in USD</t>
  </si>
  <si>
    <t xml:space="preserve">  Net flows: negative = capital leaving chain, positive = capital entering</t>
  </si>
  <si>
    <t xml:space="preserve">  HHI &gt; 2500 = highly concentrated market</t>
  </si>
  <si>
    <t xml:space="preserve">  Source: DefiLlama, Dune Analytics, CoinGecko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</si>
</sst>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64E3B"/>
      <name val="Arial"/>
      <family val="0"/>
      <charset val="1"/>
    </font>
    <font>
      <b val="true"/>
      <sz val="14"/>
      <color rgb="FF064E3B"/>
      <name val="Arial"/>
      <family val="0"/>
      <charset val="1"/>
    </font>
    <font>
      <b val="true"/>
      <sz val="11"/>
      <color rgb="FF064E3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64E3B"/>
        <bgColor rgb="FF003300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64E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4E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11586916.82</v>
      </c>
      <c r="C2" s="3" t="n">
        <v>-13242795.48</v>
      </c>
      <c r="D2" s="3" t="n">
        <v>-914320.82</v>
      </c>
      <c r="E2" s="3" t="n">
        <v>-13047551.07</v>
      </c>
      <c r="F2" s="3" t="n">
        <v>-3513612.28</v>
      </c>
      <c r="G2" s="3" t="n">
        <v>-591208.51</v>
      </c>
      <c r="H2" s="3" t="n">
        <v>-2159237.94</v>
      </c>
      <c r="I2" s="3" t="n">
        <v>2860145.9</v>
      </c>
      <c r="J2" s="3" t="n">
        <v>6163275.18</v>
      </c>
      <c r="K2" s="3" t="n">
        <v>0</v>
      </c>
    </row>
    <row r="3" customFormat="false" ht="15" hidden="false" customHeight="false" outlineLevel="0" collapsed="false">
      <c r="A3" s="2" t="s">
        <v>12</v>
      </c>
      <c r="B3" s="3" t="n">
        <v>26380719.12</v>
      </c>
      <c r="C3" s="3" t="n">
        <v>33866549.89</v>
      </c>
      <c r="D3" s="3" t="n">
        <v>31446431.17</v>
      </c>
      <c r="E3" s="3" t="n">
        <v>-20168799.45</v>
      </c>
      <c r="F3" s="3" t="n">
        <v>7184051.13</v>
      </c>
      <c r="G3" s="3" t="n">
        <v>1769978.24</v>
      </c>
      <c r="H3" s="3" t="n">
        <v>3389995.19</v>
      </c>
      <c r="I3" s="3" t="n">
        <v>-17869555</v>
      </c>
      <c r="J3" s="3" t="n">
        <v>11429222.31</v>
      </c>
      <c r="K3" s="3" t="n">
        <v>0</v>
      </c>
    </row>
    <row r="4" customFormat="false" ht="15" hidden="false" customHeight="false" outlineLevel="0" collapsed="false">
      <c r="A4" s="2" t="s">
        <v>13</v>
      </c>
      <c r="B4" s="3" t="n">
        <v>6156289.26</v>
      </c>
      <c r="C4" s="3" t="n">
        <v>28013716.66</v>
      </c>
      <c r="D4" s="3" t="n">
        <v>17610792.27</v>
      </c>
      <c r="E4" s="3" t="n">
        <v>-14161710.63</v>
      </c>
      <c r="F4" s="3" t="n">
        <v>-6893704.88</v>
      </c>
      <c r="G4" s="3" t="n">
        <v>1669371.92</v>
      </c>
      <c r="H4" s="3" t="n">
        <v>11294391.25</v>
      </c>
      <c r="I4" s="3" t="n">
        <v>3172217.43</v>
      </c>
      <c r="J4" s="3" t="n">
        <v>4079902.72</v>
      </c>
      <c r="K4" s="3" t="n">
        <v>0</v>
      </c>
    </row>
    <row r="5" customFormat="false" ht="15" hidden="false" customHeight="false" outlineLevel="0" collapsed="false">
      <c r="A5" s="2" t="s">
        <v>14</v>
      </c>
      <c r="B5" s="3" t="n">
        <v>7490187.86</v>
      </c>
      <c r="C5" s="3" t="n">
        <v>-861044.35</v>
      </c>
      <c r="D5" s="3" t="n">
        <v>12188911.66</v>
      </c>
      <c r="E5" s="3" t="n">
        <v>-3557261.42</v>
      </c>
      <c r="F5" s="3" t="n">
        <v>-7298576.03</v>
      </c>
      <c r="G5" s="3" t="n">
        <v>1054168.9</v>
      </c>
      <c r="H5" s="3" t="n">
        <v>2987355.45</v>
      </c>
      <c r="I5" s="3" t="n">
        <v>748593.25</v>
      </c>
      <c r="J5" s="3" t="n">
        <v>-4721244.55</v>
      </c>
      <c r="K5" s="3" t="n">
        <v>0</v>
      </c>
    </row>
    <row r="6" customFormat="false" ht="15" hidden="false" customHeight="false" outlineLevel="0" collapsed="false">
      <c r="A6" s="2" t="s">
        <v>15</v>
      </c>
      <c r="B6" s="3" t="n">
        <v>3562640.51</v>
      </c>
      <c r="C6" s="3" t="n">
        <v>24807838.79</v>
      </c>
      <c r="D6" s="3" t="n">
        <v>5830055.17</v>
      </c>
      <c r="E6" s="3" t="n">
        <v>-2210580.34</v>
      </c>
      <c r="F6" s="3" t="n">
        <v>-14374042.37</v>
      </c>
      <c r="G6" s="3" t="n">
        <v>432031.73</v>
      </c>
      <c r="H6" s="3" t="n">
        <v>2238156.3</v>
      </c>
      <c r="I6" s="3" t="n">
        <v>428463.07</v>
      </c>
      <c r="J6" s="3" t="n">
        <v>1081562.08</v>
      </c>
      <c r="K6" s="3" t="n">
        <v>0</v>
      </c>
    </row>
    <row r="7" customFormat="false" ht="15" hidden="false" customHeight="false" outlineLevel="0" collapsed="false">
      <c r="A7" s="2" t="s">
        <v>16</v>
      </c>
      <c r="B7" s="3" t="n">
        <v>-33787841.89</v>
      </c>
      <c r="C7" s="3" t="n">
        <v>24539623.17</v>
      </c>
      <c r="D7" s="3" t="n">
        <v>14368960.04</v>
      </c>
      <c r="E7" s="3" t="n">
        <v>-2576442.04</v>
      </c>
      <c r="F7" s="3" t="n">
        <v>-5379640.42</v>
      </c>
      <c r="G7" s="3" t="n">
        <v>-257519.26</v>
      </c>
      <c r="H7" s="3" t="n">
        <v>-11368408.89</v>
      </c>
      <c r="I7" s="3" t="n">
        <v>-215781.44</v>
      </c>
      <c r="J7" s="3" t="n">
        <v>6696547</v>
      </c>
      <c r="K7" s="3" t="n">
        <v>0</v>
      </c>
    </row>
    <row r="8" customFormat="false" ht="15" hidden="false" customHeight="false" outlineLevel="0" collapsed="false">
      <c r="A8" s="2" t="s">
        <v>17</v>
      </c>
      <c r="B8" s="3" t="n">
        <v>-210105384.35</v>
      </c>
      <c r="C8" s="3" t="n">
        <v>-4191669.91</v>
      </c>
      <c r="D8" s="3" t="n">
        <v>-2641364.57</v>
      </c>
      <c r="E8" s="3" t="n">
        <v>-16995427.3</v>
      </c>
      <c r="F8" s="3" t="n">
        <v>-31598878.7</v>
      </c>
      <c r="G8" s="3" t="n">
        <v>-3151097.63</v>
      </c>
      <c r="H8" s="3" t="n">
        <v>3844328.5</v>
      </c>
      <c r="I8" s="3" t="n">
        <v>527624.99</v>
      </c>
      <c r="J8" s="3" t="n">
        <v>-6700191.39</v>
      </c>
      <c r="K8" s="3" t="n">
        <v>0</v>
      </c>
    </row>
    <row r="9" customFormat="false" ht="15" hidden="false" customHeight="false" outlineLevel="0" collapsed="false">
      <c r="A9" s="2" t="s">
        <v>18</v>
      </c>
      <c r="B9" s="3" t="n">
        <v>9075814</v>
      </c>
      <c r="C9" s="3" t="n">
        <v>4212864.42</v>
      </c>
      <c r="D9" s="3" t="n">
        <v>-377820.29</v>
      </c>
      <c r="E9" s="3" t="n">
        <v>-5201813.62</v>
      </c>
      <c r="F9" s="3" t="n">
        <v>-12760270.01</v>
      </c>
      <c r="G9" s="3" t="n">
        <v>1019801.26</v>
      </c>
      <c r="H9" s="3" t="n">
        <v>-7284645.12</v>
      </c>
      <c r="I9" s="3" t="n">
        <v>642175.76</v>
      </c>
      <c r="J9" s="3" t="n">
        <v>10755692.13</v>
      </c>
      <c r="K9" s="3" t="n">
        <v>0</v>
      </c>
    </row>
    <row r="10" customFormat="false" ht="15" hidden="false" customHeight="false" outlineLevel="0" collapsed="false">
      <c r="A10" s="2" t="s">
        <v>19</v>
      </c>
      <c r="B10" s="3" t="n">
        <v>-57533165.12</v>
      </c>
      <c r="C10" s="3" t="n">
        <v>-1634416.5</v>
      </c>
      <c r="D10" s="3" t="n">
        <v>-1503982.13</v>
      </c>
      <c r="E10" s="3" t="n">
        <v>-4788540.21</v>
      </c>
      <c r="F10" s="3" t="n">
        <v>430210.04</v>
      </c>
      <c r="G10" s="3" t="n">
        <v>272294.12</v>
      </c>
      <c r="H10" s="3" t="n">
        <v>-4476744.05</v>
      </c>
      <c r="I10" s="3" t="n">
        <v>1192303.47</v>
      </c>
      <c r="J10" s="3" t="n">
        <v>6568736.45</v>
      </c>
      <c r="K10" s="3" t="n">
        <v>0</v>
      </c>
    </row>
    <row r="11" customFormat="false" ht="15" hidden="false" customHeight="false" outlineLevel="0" collapsed="false">
      <c r="A11" s="2" t="s">
        <v>20</v>
      </c>
      <c r="B11" s="3" t="n">
        <v>31691132.01</v>
      </c>
      <c r="C11" s="3" t="n">
        <v>-4031453.67</v>
      </c>
      <c r="D11" s="3" t="n">
        <v>6501048.8</v>
      </c>
      <c r="E11" s="3" t="n">
        <v>6473659.93</v>
      </c>
      <c r="F11" s="3" t="n">
        <v>231696.48</v>
      </c>
      <c r="G11" s="3" t="n">
        <v>0</v>
      </c>
      <c r="H11" s="3" t="n">
        <v>3391445.56</v>
      </c>
      <c r="I11" s="3" t="n">
        <v>1031875.44</v>
      </c>
      <c r="J11" s="3" t="n">
        <v>783386.26</v>
      </c>
      <c r="K11" s="3" t="n">
        <v>0</v>
      </c>
    </row>
    <row r="12" customFormat="false" ht="15" hidden="false" customHeight="false" outlineLevel="0" collapsed="false">
      <c r="A12" s="2" t="s">
        <v>21</v>
      </c>
      <c r="B12" s="3" t="n">
        <v>11292155.87</v>
      </c>
      <c r="C12" s="3" t="n">
        <v>-37128114.88</v>
      </c>
      <c r="D12" s="3" t="n">
        <v>5556817.99</v>
      </c>
      <c r="E12" s="3" t="n">
        <v>-11407373.73</v>
      </c>
      <c r="F12" s="3" t="n">
        <v>-3563941.6</v>
      </c>
      <c r="G12" s="3" t="n">
        <v>-2156791.97</v>
      </c>
      <c r="H12" s="3" t="n">
        <v>3936615.94</v>
      </c>
      <c r="I12" s="3" t="n">
        <v>1888156.12</v>
      </c>
      <c r="J12" s="3" t="n">
        <v>-2455234.65</v>
      </c>
      <c r="K12" s="3" t="n">
        <v>0</v>
      </c>
    </row>
    <row r="13" customFormat="false" ht="15" hidden="false" customHeight="false" outlineLevel="0" collapsed="false">
      <c r="A13" s="2" t="s">
        <v>22</v>
      </c>
      <c r="B13" s="3" t="n">
        <v>-86330651.51</v>
      </c>
      <c r="C13" s="3" t="n">
        <v>-22668941.34</v>
      </c>
      <c r="D13" s="3" t="n">
        <v>-4319332.94</v>
      </c>
      <c r="E13" s="3" t="n">
        <v>-7388041.45</v>
      </c>
      <c r="F13" s="3" t="n">
        <v>232344.34</v>
      </c>
      <c r="G13" s="3" t="n">
        <v>-283295.18</v>
      </c>
      <c r="H13" s="3" t="n">
        <v>3663276.65</v>
      </c>
      <c r="I13" s="3" t="n">
        <v>-384999.93</v>
      </c>
      <c r="J13" s="3" t="n">
        <v>-1484575.65</v>
      </c>
      <c r="K13" s="3" t="n">
        <v>0</v>
      </c>
    </row>
    <row r="14" customFormat="false" ht="15" hidden="false" customHeight="false" outlineLevel="0" collapsed="false">
      <c r="A14" s="2" t="s">
        <v>23</v>
      </c>
      <c r="B14" s="3" t="n">
        <v>-69323987.58</v>
      </c>
      <c r="C14" s="3" t="n">
        <v>-10268701.26</v>
      </c>
      <c r="D14" s="3" t="n">
        <v>393699.78</v>
      </c>
      <c r="E14" s="3" t="n">
        <v>-1263879.42</v>
      </c>
      <c r="F14" s="3" t="n">
        <v>-15542020.58</v>
      </c>
      <c r="G14" s="3" t="n">
        <v>-520101.01</v>
      </c>
      <c r="H14" s="3" t="n">
        <v>-1916069.26</v>
      </c>
      <c r="I14" s="3" t="n">
        <v>715012.28</v>
      </c>
      <c r="J14" s="3" t="n">
        <v>14146402.85</v>
      </c>
      <c r="K14" s="3" t="n">
        <v>0</v>
      </c>
    </row>
    <row r="15" customFormat="false" ht="15" hidden="false" customHeight="false" outlineLevel="0" collapsed="false">
      <c r="A15" s="2" t="s">
        <v>24</v>
      </c>
      <c r="B15" s="3" t="n">
        <v>-124601142.84</v>
      </c>
      <c r="C15" s="3" t="n">
        <v>29080427.5</v>
      </c>
      <c r="D15" s="3" t="n">
        <v>11739194.7</v>
      </c>
      <c r="E15" s="3" t="n">
        <v>31674474.04</v>
      </c>
      <c r="F15" s="3" t="n">
        <v>-2686416.29</v>
      </c>
      <c r="G15" s="3" t="n">
        <v>12235320.01</v>
      </c>
      <c r="H15" s="3" t="n">
        <v>-848359.58</v>
      </c>
      <c r="I15" s="3" t="n">
        <v>1614157.12</v>
      </c>
      <c r="J15" s="3" t="n">
        <v>6585728.96</v>
      </c>
      <c r="K15" s="3" t="n">
        <v>0</v>
      </c>
    </row>
    <row r="16" customFormat="false" ht="15" hidden="false" customHeight="false" outlineLevel="0" collapsed="false">
      <c r="A16" s="2" t="s">
        <v>25</v>
      </c>
      <c r="B16" s="3" t="n">
        <v>-63780880.37</v>
      </c>
      <c r="C16" s="3" t="n">
        <v>48114161.38</v>
      </c>
      <c r="D16" s="3" t="n">
        <v>15107305.37</v>
      </c>
      <c r="E16" s="3" t="n">
        <v>-4690458.63</v>
      </c>
      <c r="F16" s="3" t="n">
        <v>165612.29</v>
      </c>
      <c r="G16" s="3" t="n">
        <v>2626886.11</v>
      </c>
      <c r="H16" s="3" t="n">
        <v>-3311402.83</v>
      </c>
      <c r="I16" s="3" t="n">
        <v>1514462.24</v>
      </c>
      <c r="J16" s="3" t="n">
        <v>7141162.41</v>
      </c>
      <c r="K16" s="3" t="n">
        <v>0</v>
      </c>
    </row>
    <row r="17" customFormat="false" ht="15" hidden="false" customHeight="false" outlineLevel="0" collapsed="false">
      <c r="A17" s="2" t="s">
        <v>26</v>
      </c>
      <c r="B17" s="3" t="n">
        <v>-181406972.46</v>
      </c>
      <c r="C17" s="3" t="n">
        <v>3457789.67</v>
      </c>
      <c r="D17" s="3" t="n">
        <v>21455679.07</v>
      </c>
      <c r="E17" s="3" t="n">
        <v>-12158575.01</v>
      </c>
      <c r="F17" s="3" t="n">
        <v>-1822596.98</v>
      </c>
      <c r="G17" s="3" t="n">
        <v>81328.05</v>
      </c>
      <c r="H17" s="3" t="n">
        <v>-150499.9</v>
      </c>
      <c r="I17" s="3" t="n">
        <v>-1667141.19</v>
      </c>
      <c r="J17" s="3" t="n">
        <v>840464.64</v>
      </c>
      <c r="K17" s="3" t="n">
        <v>0</v>
      </c>
    </row>
    <row r="18" customFormat="false" ht="15" hidden="false" customHeight="false" outlineLevel="0" collapsed="false">
      <c r="A18" s="2" t="s">
        <v>27</v>
      </c>
      <c r="B18" s="3" t="n">
        <v>-110674657.04</v>
      </c>
      <c r="C18" s="3" t="n">
        <v>129198165.1</v>
      </c>
      <c r="D18" s="3" t="n">
        <v>13144035.86</v>
      </c>
      <c r="E18" s="3" t="n">
        <v>-25236357.96</v>
      </c>
      <c r="F18" s="3" t="n">
        <v>3971403.67</v>
      </c>
      <c r="G18" s="3" t="n">
        <v>1069066.7</v>
      </c>
      <c r="H18" s="3" t="n">
        <v>-626756.94</v>
      </c>
      <c r="I18" s="3" t="n">
        <v>-888906.75</v>
      </c>
      <c r="J18" s="3" t="n">
        <v>8816528.46</v>
      </c>
      <c r="K18" s="3" t="n">
        <v>0</v>
      </c>
    </row>
    <row r="19" customFormat="false" ht="15" hidden="false" customHeight="false" outlineLevel="0" collapsed="false">
      <c r="A19" s="2" t="s">
        <v>28</v>
      </c>
      <c r="B19" s="3" t="n">
        <v>262068202.52</v>
      </c>
      <c r="C19" s="3" t="n">
        <v>34317789.85</v>
      </c>
      <c r="D19" s="3" t="n">
        <v>100864996.42</v>
      </c>
      <c r="E19" s="3" t="n">
        <v>-148608520.36</v>
      </c>
      <c r="F19" s="3" t="n">
        <v>-3821504.82</v>
      </c>
      <c r="G19" s="3" t="n">
        <v>-1571437.2</v>
      </c>
      <c r="H19" s="3" t="n">
        <v>6635423.61</v>
      </c>
      <c r="I19" s="3" t="n">
        <v>10322687.07</v>
      </c>
      <c r="J19" s="3" t="n">
        <v>-3642333.42</v>
      </c>
      <c r="K19" s="3" t="n">
        <v>0</v>
      </c>
    </row>
    <row r="20" customFormat="false" ht="15" hidden="false" customHeight="false" outlineLevel="0" collapsed="false">
      <c r="A20" s="2" t="s">
        <v>29</v>
      </c>
      <c r="B20" s="3" t="n">
        <v>364599476.6</v>
      </c>
      <c r="C20" s="3" t="n">
        <v>100222379.38</v>
      </c>
      <c r="D20" s="3" t="n">
        <v>177266736.32</v>
      </c>
      <c r="E20" s="3" t="n">
        <v>-118865866.44</v>
      </c>
      <c r="F20" s="3" t="n">
        <v>22111102.59</v>
      </c>
      <c r="G20" s="3" t="n">
        <v>-12057867.09</v>
      </c>
      <c r="H20" s="3" t="n">
        <v>13666085.46</v>
      </c>
      <c r="I20" s="3" t="n">
        <v>98861237.37</v>
      </c>
      <c r="J20" s="3" t="n">
        <v>3001373.22</v>
      </c>
      <c r="K20" s="3" t="n">
        <v>0</v>
      </c>
    </row>
    <row r="21" customFormat="false" ht="15" hidden="false" customHeight="false" outlineLevel="0" collapsed="false">
      <c r="A21" s="2" t="s">
        <v>30</v>
      </c>
      <c r="B21" s="3" t="n">
        <v>136560949.81</v>
      </c>
      <c r="C21" s="3" t="n">
        <v>-138620067.96</v>
      </c>
      <c r="D21" s="3" t="n">
        <v>23815591.75</v>
      </c>
      <c r="E21" s="3" t="n">
        <v>-16058975.89</v>
      </c>
      <c r="F21" s="3" t="n">
        <v>7805575.61</v>
      </c>
      <c r="G21" s="3" t="n">
        <v>-6122219.67</v>
      </c>
      <c r="H21" s="3" t="n">
        <v>51412613.9</v>
      </c>
      <c r="I21" s="3" t="n">
        <v>8944735.1</v>
      </c>
      <c r="J21" s="3" t="n">
        <v>7235523.56</v>
      </c>
      <c r="K21" s="3" t="n">
        <v>0</v>
      </c>
    </row>
    <row r="22" customFormat="false" ht="15" hidden="false" customHeight="false" outlineLevel="0" collapsed="false">
      <c r="A22" s="2" t="s">
        <v>31</v>
      </c>
      <c r="B22" s="3" t="n">
        <v>-92942544.38</v>
      </c>
      <c r="C22" s="3" t="n">
        <v>17496179.72</v>
      </c>
      <c r="D22" s="3" t="n">
        <v>49102090.29</v>
      </c>
      <c r="E22" s="3" t="n">
        <v>43101430.64</v>
      </c>
      <c r="F22" s="3" t="n">
        <v>362084.68</v>
      </c>
      <c r="G22" s="3" t="n">
        <v>4231087.55</v>
      </c>
      <c r="H22" s="3" t="n">
        <v>2094116.24</v>
      </c>
      <c r="I22" s="3" t="n">
        <v>-1318369.45</v>
      </c>
      <c r="J22" s="3" t="n">
        <v>2746460.23</v>
      </c>
      <c r="K22" s="3" t="n">
        <v>0</v>
      </c>
    </row>
    <row r="23" customFormat="false" ht="15" hidden="false" customHeight="false" outlineLevel="0" collapsed="false">
      <c r="A23" s="2" t="s">
        <v>32</v>
      </c>
      <c r="B23" s="3" t="n">
        <v>-197392167.53</v>
      </c>
      <c r="C23" s="3" t="n">
        <v>6879576.57</v>
      </c>
      <c r="D23" s="3" t="n">
        <v>16778549.05</v>
      </c>
      <c r="E23" s="3" t="n">
        <v>6491649.43</v>
      </c>
      <c r="F23" s="3" t="n">
        <v>-744497.92</v>
      </c>
      <c r="G23" s="3" t="n">
        <v>8072308.74</v>
      </c>
      <c r="H23" s="3" t="n">
        <v>-3961494.69</v>
      </c>
      <c r="I23" s="3" t="n">
        <v>-8785277.83</v>
      </c>
      <c r="J23" s="3" t="n">
        <v>1136677.54</v>
      </c>
      <c r="K23" s="3" t="n">
        <v>0</v>
      </c>
    </row>
    <row r="24" customFormat="false" ht="15" hidden="false" customHeight="false" outlineLevel="0" collapsed="false">
      <c r="A24" s="2" t="s">
        <v>33</v>
      </c>
      <c r="B24" s="3" t="n">
        <v>-371056699.7</v>
      </c>
      <c r="C24" s="3" t="n">
        <v>-112102224.45</v>
      </c>
      <c r="D24" s="3" t="n">
        <v>9900804.89</v>
      </c>
      <c r="E24" s="3" t="n">
        <v>5018649.3</v>
      </c>
      <c r="F24" s="3" t="n">
        <v>-4538489.97</v>
      </c>
      <c r="G24" s="3" t="n">
        <v>-1079194.5</v>
      </c>
      <c r="H24" s="3" t="n">
        <v>-7638490.8</v>
      </c>
      <c r="I24" s="3" t="n">
        <v>2015511.93</v>
      </c>
      <c r="J24" s="3" t="n">
        <v>837524.69</v>
      </c>
      <c r="K24" s="3" t="n">
        <v>0</v>
      </c>
    </row>
    <row r="25" customFormat="false" ht="15" hidden="false" customHeight="false" outlineLevel="0" collapsed="false">
      <c r="A25" s="2" t="s">
        <v>34</v>
      </c>
      <c r="B25" s="3" t="n">
        <v>-490003177.04</v>
      </c>
      <c r="C25" s="3" t="n">
        <v>-755924273.84</v>
      </c>
      <c r="D25" s="3" t="n">
        <v>-8193832.7</v>
      </c>
      <c r="E25" s="3" t="n">
        <v>15728247.41</v>
      </c>
      <c r="F25" s="3" t="n">
        <v>-747090.83</v>
      </c>
      <c r="G25" s="3" t="n">
        <v>4682537.51</v>
      </c>
      <c r="H25" s="3" t="n">
        <v>41314.61</v>
      </c>
      <c r="I25" s="3" t="n">
        <v>1829778.64</v>
      </c>
      <c r="J25" s="3" t="n">
        <v>356783.4</v>
      </c>
      <c r="K25" s="3" t="n">
        <v>0</v>
      </c>
    </row>
    <row r="26" customFormat="false" ht="15" hidden="false" customHeight="false" outlineLevel="0" collapsed="false">
      <c r="A26" s="2" t="s">
        <v>35</v>
      </c>
      <c r="B26" s="3" t="n">
        <v>15347138.03</v>
      </c>
      <c r="C26" s="3" t="n">
        <v>19002151.76</v>
      </c>
      <c r="D26" s="3" t="n">
        <v>-11768376.48</v>
      </c>
      <c r="E26" s="3" t="n">
        <v>-3832900.77</v>
      </c>
      <c r="F26" s="3" t="n">
        <v>1034689.41</v>
      </c>
      <c r="G26" s="3" t="n">
        <v>-234658.22</v>
      </c>
      <c r="H26" s="3" t="n">
        <v>-279822.85</v>
      </c>
      <c r="I26" s="3" t="n">
        <v>-1021495.38</v>
      </c>
      <c r="J26" s="3" t="n">
        <v>-644566.3</v>
      </c>
      <c r="K26" s="3" t="n">
        <v>0</v>
      </c>
    </row>
    <row r="27" customFormat="false" ht="15" hidden="false" customHeight="false" outlineLevel="0" collapsed="false">
      <c r="A27" s="2" t="s">
        <v>36</v>
      </c>
      <c r="B27" s="3" t="n">
        <v>-37983316.9</v>
      </c>
      <c r="C27" s="3" t="n">
        <v>8774979.88</v>
      </c>
      <c r="D27" s="3" t="n">
        <v>2586830.56</v>
      </c>
      <c r="E27" s="3" t="n">
        <v>9398411.57</v>
      </c>
      <c r="F27" s="3" t="n">
        <v>-1037382.32</v>
      </c>
      <c r="G27" s="3" t="n">
        <v>-162287.63</v>
      </c>
      <c r="H27" s="3" t="n">
        <v>-1656422.66</v>
      </c>
      <c r="I27" s="3" t="n">
        <v>-7398804.49</v>
      </c>
      <c r="J27" s="3" t="n">
        <v>-1869503.38</v>
      </c>
      <c r="K27" s="3" t="n">
        <v>0</v>
      </c>
    </row>
    <row r="28" customFormat="false" ht="15" hidden="false" customHeight="false" outlineLevel="0" collapsed="false">
      <c r="A28" s="2" t="s">
        <v>37</v>
      </c>
      <c r="B28" s="3" t="n">
        <v>-112345800.19</v>
      </c>
      <c r="C28" s="3" t="n">
        <v>85067782.29</v>
      </c>
      <c r="D28" s="3" t="n">
        <v>-9921035.03</v>
      </c>
      <c r="E28" s="3" t="n">
        <v>11723208.86</v>
      </c>
      <c r="F28" s="3" t="n">
        <v>482523.69</v>
      </c>
      <c r="G28" s="3" t="n">
        <v>-3925534.16</v>
      </c>
      <c r="H28" s="3" t="n">
        <v>-4834285.02</v>
      </c>
      <c r="I28" s="3" t="n">
        <v>2549420.47</v>
      </c>
      <c r="J28" s="3" t="n">
        <v>-330773.06</v>
      </c>
      <c r="K28" s="3" t="n">
        <v>0</v>
      </c>
    </row>
    <row r="29" customFormat="false" ht="15" hidden="false" customHeight="false" outlineLevel="0" collapsed="false">
      <c r="A29" s="2" t="s">
        <v>38</v>
      </c>
      <c r="B29" s="3" t="n">
        <v>-106694148.71</v>
      </c>
      <c r="C29" s="3" t="n">
        <v>-196691.52</v>
      </c>
      <c r="D29" s="3" t="n">
        <v>8356093.49</v>
      </c>
      <c r="E29" s="3" t="n">
        <v>-1501044.59</v>
      </c>
      <c r="F29" s="3" t="n">
        <v>-1144542.62</v>
      </c>
      <c r="G29" s="3" t="n">
        <v>-4131845.02</v>
      </c>
      <c r="H29" s="3" t="n">
        <v>-3952527.42</v>
      </c>
      <c r="I29" s="3" t="n">
        <v>-2523549.32</v>
      </c>
      <c r="J29" s="3" t="n">
        <v>-5314113.97</v>
      </c>
      <c r="K29" s="3" t="n">
        <v>0</v>
      </c>
    </row>
    <row r="30" customFormat="false" ht="15" hidden="false" customHeight="false" outlineLevel="0" collapsed="false">
      <c r="A30" s="2" t="s">
        <v>39</v>
      </c>
      <c r="B30" s="3" t="n">
        <v>-489447.1</v>
      </c>
      <c r="C30" s="3" t="n">
        <v>-14966771.34</v>
      </c>
      <c r="D30" s="3" t="n">
        <v>9634921.29</v>
      </c>
      <c r="E30" s="3" t="n">
        <v>-6454871.76</v>
      </c>
      <c r="F30" s="3" t="n">
        <v>1018024.91</v>
      </c>
      <c r="G30" s="3" t="n">
        <v>-7843279.27</v>
      </c>
      <c r="H30" s="3" t="n">
        <v>-538282.85</v>
      </c>
      <c r="I30" s="3" t="n">
        <v>-178784.74</v>
      </c>
      <c r="J30" s="3" t="n">
        <v>3040297.66</v>
      </c>
      <c r="K30" s="3" t="n">
        <v>0</v>
      </c>
    </row>
    <row r="31" customFormat="false" ht="15" hidden="false" customHeight="false" outlineLevel="0" collapsed="false">
      <c r="A31" s="2" t="s">
        <v>40</v>
      </c>
      <c r="B31" s="3" t="n">
        <v>33687129.67</v>
      </c>
      <c r="C31" s="3" t="n">
        <v>47733237.38</v>
      </c>
      <c r="D31" s="3" t="n">
        <v>16143952.91</v>
      </c>
      <c r="E31" s="3" t="n">
        <v>-5682020.95</v>
      </c>
      <c r="F31" s="3" t="n">
        <v>441946.9</v>
      </c>
      <c r="G31" s="3" t="n">
        <v>1516275.68</v>
      </c>
      <c r="H31" s="3" t="n">
        <v>-1680374.06</v>
      </c>
      <c r="I31" s="3" t="n">
        <v>931948.29</v>
      </c>
      <c r="J31" s="3" t="n">
        <v>5965955.2</v>
      </c>
      <c r="K31" s="3" t="n">
        <v>0</v>
      </c>
    </row>
    <row r="32" customFormat="false" ht="15" hidden="false" customHeight="false" outlineLevel="0" collapsed="false">
      <c r="A32" s="2" t="s">
        <v>41</v>
      </c>
      <c r="B32" s="3" t="n">
        <v>-158497567.74</v>
      </c>
      <c r="C32" s="3" t="n">
        <v>11427577.95</v>
      </c>
      <c r="D32" s="3" t="n">
        <v>-12621435.13</v>
      </c>
      <c r="E32" s="3" t="n">
        <v>28236360.88</v>
      </c>
      <c r="F32" s="3" t="n">
        <v>57046.15</v>
      </c>
      <c r="G32" s="3" t="n">
        <v>-271900.24</v>
      </c>
      <c r="H32" s="3" t="n">
        <v>-3577835.49</v>
      </c>
      <c r="I32" s="3" t="n">
        <v>-2671254.1</v>
      </c>
      <c r="J32" s="3" t="n">
        <v>-3611936.54</v>
      </c>
      <c r="K32" s="3" t="n">
        <v>0</v>
      </c>
    </row>
    <row r="33" customFormat="false" ht="15" hidden="false" customHeight="false" outlineLevel="0" collapsed="false">
      <c r="A33" s="2" t="s">
        <v>42</v>
      </c>
      <c r="B33" s="3" t="n">
        <v>-37224686.03</v>
      </c>
      <c r="C33" s="3" t="n">
        <v>-37188925.49</v>
      </c>
      <c r="D33" s="3" t="n">
        <v>-13883116.7</v>
      </c>
      <c r="E33" s="3" t="n">
        <v>8165156.07</v>
      </c>
      <c r="F33" s="3" t="n">
        <v>-4378184.32</v>
      </c>
      <c r="G33" s="3" t="n">
        <v>-9326866.97</v>
      </c>
      <c r="H33" s="3" t="n">
        <v>-2329622.09</v>
      </c>
      <c r="I33" s="3" t="n">
        <v>970576.35</v>
      </c>
      <c r="J33" s="3" t="n">
        <v>2272907.52</v>
      </c>
      <c r="K33" s="3" t="n">
        <v>5329.91</v>
      </c>
    </row>
    <row r="34" customFormat="false" ht="15" hidden="false" customHeight="false" outlineLevel="0" collapsed="false">
      <c r="A34" s="2" t="s">
        <v>43</v>
      </c>
      <c r="B34" s="3" t="n">
        <v>-120197937.31</v>
      </c>
      <c r="C34" s="3" t="n">
        <v>-39832538.01</v>
      </c>
      <c r="D34" s="3" t="n">
        <v>-4619931.8</v>
      </c>
      <c r="E34" s="3" t="n">
        <v>17718730.35</v>
      </c>
      <c r="F34" s="3" t="n">
        <v>-2275275.76</v>
      </c>
      <c r="G34" s="3" t="n">
        <v>-8655720.57</v>
      </c>
      <c r="H34" s="3" t="n">
        <v>-8127595.24</v>
      </c>
      <c r="I34" s="3" t="n">
        <v>1780233.97</v>
      </c>
      <c r="J34" s="3" t="n">
        <v>-2084789.3</v>
      </c>
      <c r="K34" s="3" t="n">
        <v>7899.73</v>
      </c>
    </row>
    <row r="35" customFormat="false" ht="15" hidden="false" customHeight="false" outlineLevel="0" collapsed="false">
      <c r="A35" s="2" t="s">
        <v>44</v>
      </c>
      <c r="B35" s="3" t="n">
        <v>104615310.32</v>
      </c>
      <c r="C35" s="3" t="n">
        <v>-20828377.92</v>
      </c>
      <c r="D35" s="3" t="n">
        <v>-1459533.69</v>
      </c>
      <c r="E35" s="3" t="n">
        <v>13591673.74</v>
      </c>
      <c r="F35" s="3" t="n">
        <v>-5631354.82</v>
      </c>
      <c r="G35" s="3" t="n">
        <v>-3747825.45</v>
      </c>
      <c r="H35" s="3" t="n">
        <v>-8001534.04</v>
      </c>
      <c r="I35" s="3" t="n">
        <v>2605892.1</v>
      </c>
      <c r="J35" s="3" t="n">
        <v>3507347.55</v>
      </c>
      <c r="K35" s="3" t="n">
        <v>24722.13</v>
      </c>
    </row>
    <row r="36" customFormat="false" ht="15" hidden="false" customHeight="false" outlineLevel="0" collapsed="false">
      <c r="A36" s="2" t="s">
        <v>45</v>
      </c>
      <c r="B36" s="3" t="n">
        <v>-20734543.07</v>
      </c>
      <c r="C36" s="3" t="n">
        <v>4857339.57</v>
      </c>
      <c r="D36" s="3" t="n">
        <v>3336947.59</v>
      </c>
      <c r="E36" s="3" t="n">
        <v>5040427.13</v>
      </c>
      <c r="F36" s="3" t="n">
        <v>-1564554.83</v>
      </c>
      <c r="G36" s="3" t="n">
        <v>-6855310.16</v>
      </c>
      <c r="H36" s="3" t="n">
        <v>-11343399.13</v>
      </c>
      <c r="I36" s="3" t="n">
        <v>2906928.89</v>
      </c>
      <c r="J36" s="3" t="n">
        <v>-2298523.6</v>
      </c>
      <c r="K36" s="3" t="n">
        <v>-31809.35</v>
      </c>
    </row>
    <row r="37" customFormat="false" ht="15" hidden="false" customHeight="false" outlineLevel="0" collapsed="false">
      <c r="A37" s="2" t="s">
        <v>46</v>
      </c>
      <c r="B37" s="3" t="n">
        <v>-1210911319.57</v>
      </c>
      <c r="C37" s="3" t="n">
        <v>3905485.72</v>
      </c>
      <c r="D37" s="3" t="n">
        <v>-15757374.67</v>
      </c>
      <c r="E37" s="3" t="n">
        <v>12030772.62</v>
      </c>
      <c r="F37" s="3" t="n">
        <v>701648.38</v>
      </c>
      <c r="G37" s="3" t="n">
        <v>-3516304.39</v>
      </c>
      <c r="H37" s="3" t="n">
        <v>-1571331.26</v>
      </c>
      <c r="I37" s="3" t="n">
        <v>2271242.4</v>
      </c>
      <c r="J37" s="3" t="n">
        <v>883803.57</v>
      </c>
      <c r="K37" s="3" t="n">
        <v>-6325.5</v>
      </c>
    </row>
    <row r="38" customFormat="false" ht="15" hidden="false" customHeight="false" outlineLevel="0" collapsed="false">
      <c r="A38" s="2" t="s">
        <v>47</v>
      </c>
      <c r="B38" s="3" t="n">
        <v>-93146103.69</v>
      </c>
      <c r="C38" s="3" t="n">
        <v>-40664756.8</v>
      </c>
      <c r="D38" s="3" t="n">
        <v>5004241.22</v>
      </c>
      <c r="E38" s="3" t="n">
        <v>23221576.52</v>
      </c>
      <c r="F38" s="3" t="n">
        <v>-2071606.72</v>
      </c>
      <c r="G38" s="3" t="n">
        <v>-812595.43</v>
      </c>
      <c r="H38" s="3" t="n">
        <v>-5744820.24</v>
      </c>
      <c r="I38" s="3" t="n">
        <v>2279176.71</v>
      </c>
      <c r="J38" s="3" t="n">
        <v>25164.62</v>
      </c>
      <c r="K38" s="3" t="n">
        <v>-35573.95</v>
      </c>
    </row>
    <row r="39" customFormat="false" ht="15" hidden="false" customHeight="false" outlineLevel="0" collapsed="false">
      <c r="A39" s="2" t="s">
        <v>48</v>
      </c>
      <c r="B39" s="3" t="n">
        <v>-10691617.99</v>
      </c>
      <c r="C39" s="3" t="n">
        <v>-1708202.24</v>
      </c>
      <c r="D39" s="3" t="n">
        <v>8320644.61</v>
      </c>
      <c r="E39" s="3" t="n">
        <v>4417133.56</v>
      </c>
      <c r="F39" s="3" t="n">
        <v>-1689556.08</v>
      </c>
      <c r="G39" s="3" t="n">
        <v>-5799021.38</v>
      </c>
      <c r="H39" s="3" t="n">
        <v>2566076.58</v>
      </c>
      <c r="I39" s="3" t="n">
        <v>-1062435.33</v>
      </c>
      <c r="J39" s="3" t="n">
        <v>5085803.48</v>
      </c>
      <c r="K39" s="3" t="n">
        <v>-44676.63</v>
      </c>
    </row>
    <row r="40" customFormat="false" ht="15" hidden="false" customHeight="false" outlineLevel="0" collapsed="false">
      <c r="A40" s="2" t="s">
        <v>49</v>
      </c>
      <c r="B40" s="3" t="n">
        <v>-11174006.73</v>
      </c>
      <c r="C40" s="3" t="n">
        <v>-1087828.53</v>
      </c>
      <c r="D40" s="3" t="n">
        <v>-6134289.61</v>
      </c>
      <c r="E40" s="3" t="n">
        <v>-1888592.26</v>
      </c>
      <c r="F40" s="3" t="n">
        <v>-5647946.45</v>
      </c>
      <c r="G40" s="3" t="n">
        <v>-3254392.74</v>
      </c>
      <c r="H40" s="3" t="n">
        <v>6467779.74</v>
      </c>
      <c r="I40" s="3" t="n">
        <v>-2876854.67</v>
      </c>
      <c r="J40" s="3" t="n">
        <v>307488.61</v>
      </c>
      <c r="K40" s="3" t="n">
        <v>-58953.05</v>
      </c>
    </row>
    <row r="41" customFormat="false" ht="15" hidden="false" customHeight="false" outlineLevel="0" collapsed="false">
      <c r="A41" s="2" t="s">
        <v>50</v>
      </c>
      <c r="B41" s="3" t="n">
        <v>8819859.59</v>
      </c>
      <c r="C41" s="3" t="n">
        <v>-7673165.03</v>
      </c>
      <c r="D41" s="3" t="n">
        <v>7549066.92</v>
      </c>
      <c r="E41" s="3" t="n">
        <v>-12434384.07</v>
      </c>
      <c r="F41" s="3" t="n">
        <v>-3099514.03</v>
      </c>
      <c r="G41" s="3" t="n">
        <v>4057638.42</v>
      </c>
      <c r="H41" s="3" t="n">
        <v>385989.65</v>
      </c>
      <c r="I41" s="3" t="n">
        <v>-2671819.17</v>
      </c>
      <c r="J41" s="3" t="n">
        <v>797406.56</v>
      </c>
      <c r="K41" s="3" t="n">
        <v>-36782.11</v>
      </c>
    </row>
    <row r="42" customFormat="false" ht="15" hidden="false" customHeight="false" outlineLevel="0" collapsed="false">
      <c r="A42" s="2" t="s">
        <v>51</v>
      </c>
      <c r="B42" s="3" t="n">
        <v>24006560.3</v>
      </c>
      <c r="C42" s="3" t="n">
        <v>-18117771.29</v>
      </c>
      <c r="D42" s="3" t="n">
        <v>19898930.33</v>
      </c>
      <c r="E42" s="3" t="n">
        <v>-30869815.1</v>
      </c>
      <c r="F42" s="3" t="n">
        <v>6774038.87</v>
      </c>
      <c r="G42" s="3" t="n">
        <v>3047501.36</v>
      </c>
      <c r="H42" s="3" t="n">
        <v>6279800.02</v>
      </c>
      <c r="I42" s="3" t="n">
        <v>4703157.05</v>
      </c>
      <c r="J42" s="3" t="n">
        <v>58662.12</v>
      </c>
      <c r="K42" s="3" t="n">
        <v>-67695.98</v>
      </c>
    </row>
    <row r="43" customFormat="false" ht="15" hidden="false" customHeight="false" outlineLevel="0" collapsed="false">
      <c r="A43" s="2" t="s">
        <v>52</v>
      </c>
      <c r="B43" s="3" t="n">
        <v>-1852589.73</v>
      </c>
      <c r="C43" s="3" t="n">
        <v>-20118911.59</v>
      </c>
      <c r="D43" s="3" t="n">
        <v>10327870.65</v>
      </c>
      <c r="E43" s="3" t="n">
        <v>-15158589.27</v>
      </c>
      <c r="F43" s="3" t="n">
        <v>-16157003.21</v>
      </c>
      <c r="G43" s="3" t="n">
        <v>1903219.6</v>
      </c>
      <c r="H43" s="3" t="n">
        <v>-7005120.19</v>
      </c>
      <c r="I43" s="3" t="n">
        <v>-1502793.96</v>
      </c>
      <c r="J43" s="3" t="n">
        <v>-773750.91</v>
      </c>
      <c r="K43" s="3" t="n">
        <v>-900108.45</v>
      </c>
    </row>
    <row r="44" customFormat="false" ht="15" hidden="false" customHeight="false" outlineLevel="0" collapsed="false">
      <c r="A44" s="2" t="s">
        <v>53</v>
      </c>
      <c r="B44" s="3" t="n">
        <v>46814367.36</v>
      </c>
      <c r="C44" s="3" t="n">
        <v>10118231.95</v>
      </c>
      <c r="D44" s="3" t="n">
        <v>8246335.24</v>
      </c>
      <c r="E44" s="3" t="n">
        <v>7454158.43</v>
      </c>
      <c r="F44" s="3" t="n">
        <v>-27826753.92</v>
      </c>
      <c r="G44" s="3" t="n">
        <v>-911388.54</v>
      </c>
      <c r="H44" s="3" t="n">
        <v>2515093.61</v>
      </c>
      <c r="I44" s="3" t="n">
        <v>745868.57</v>
      </c>
      <c r="J44" s="3" t="n">
        <v>574662.69</v>
      </c>
      <c r="K44" s="3" t="n">
        <v>-1279813.88</v>
      </c>
    </row>
    <row r="45" customFormat="false" ht="15" hidden="false" customHeight="false" outlineLevel="0" collapsed="false">
      <c r="A45" s="2" t="s">
        <v>54</v>
      </c>
      <c r="B45" s="3" t="n">
        <v>-90266521.33</v>
      </c>
      <c r="C45" s="3" t="n">
        <v>-5833430.29</v>
      </c>
      <c r="D45" s="3" t="n">
        <v>2829334.24</v>
      </c>
      <c r="E45" s="3" t="n">
        <v>13516422.51</v>
      </c>
      <c r="F45" s="3" t="n">
        <v>-19585553.87</v>
      </c>
      <c r="G45" s="3" t="n">
        <v>-3414773.99</v>
      </c>
      <c r="H45" s="3" t="n">
        <v>860397.46</v>
      </c>
      <c r="I45" s="3" t="n">
        <v>57730.69</v>
      </c>
      <c r="J45" s="3" t="n">
        <v>245275.78</v>
      </c>
      <c r="K45" s="3" t="n">
        <v>-729343.3</v>
      </c>
    </row>
    <row r="46" customFormat="false" ht="15" hidden="false" customHeight="false" outlineLevel="0" collapsed="false">
      <c r="A46" s="2" t="s">
        <v>55</v>
      </c>
      <c r="B46" s="3" t="n">
        <v>-44509461.58</v>
      </c>
      <c r="C46" s="3" t="n">
        <v>35431612.6</v>
      </c>
      <c r="D46" s="3" t="n">
        <v>19131077.38</v>
      </c>
      <c r="E46" s="3" t="n">
        <v>-26546822.37</v>
      </c>
      <c r="F46" s="3" t="n">
        <v>14339945.52</v>
      </c>
      <c r="G46" s="3" t="n">
        <v>3117408.72</v>
      </c>
      <c r="H46" s="3" t="n">
        <v>1990090.45</v>
      </c>
      <c r="I46" s="3" t="n">
        <v>-2292564.27</v>
      </c>
      <c r="J46" s="3" t="n">
        <v>3466350.54</v>
      </c>
      <c r="K46" s="3" t="n">
        <v>-855857.74</v>
      </c>
    </row>
    <row r="47" customFormat="false" ht="15" hidden="false" customHeight="false" outlineLevel="0" collapsed="false">
      <c r="A47" s="2" t="s">
        <v>56</v>
      </c>
      <c r="B47" s="3" t="n">
        <v>19907026.37</v>
      </c>
      <c r="C47" s="3" t="n">
        <v>-19296152.39</v>
      </c>
      <c r="D47" s="3" t="n">
        <v>2973859.08</v>
      </c>
      <c r="E47" s="3" t="n">
        <v>6401869.68</v>
      </c>
      <c r="F47" s="3" t="n">
        <v>4679344.34</v>
      </c>
      <c r="G47" s="3" t="n">
        <v>351643.55</v>
      </c>
      <c r="H47" s="3" t="n">
        <v>1718876.45</v>
      </c>
      <c r="I47" s="3" t="n">
        <v>-4160719.76</v>
      </c>
      <c r="J47" s="3" t="n">
        <v>-96255.1</v>
      </c>
      <c r="K47" s="3" t="n">
        <v>-419606.3</v>
      </c>
    </row>
    <row r="48" customFormat="false" ht="15" hidden="false" customHeight="false" outlineLevel="0" collapsed="false">
      <c r="A48" s="2" t="s">
        <v>57</v>
      </c>
      <c r="B48" s="3" t="n">
        <v>-42589289.44</v>
      </c>
      <c r="C48" s="3" t="n">
        <v>-8742363.74</v>
      </c>
      <c r="D48" s="3" t="n">
        <v>-3514935.42</v>
      </c>
      <c r="E48" s="3" t="n">
        <v>19535188.32</v>
      </c>
      <c r="F48" s="3" t="n">
        <v>-7661639.18</v>
      </c>
      <c r="G48" s="3" t="n">
        <v>2941250.66</v>
      </c>
      <c r="H48" s="3" t="n">
        <v>855834.08</v>
      </c>
      <c r="I48" s="3" t="n">
        <v>-468888.87</v>
      </c>
      <c r="J48" s="3" t="n">
        <v>-2980388.9</v>
      </c>
      <c r="K48" s="3" t="n">
        <v>-642028.88</v>
      </c>
    </row>
    <row r="49" customFormat="false" ht="15" hidden="false" customHeight="false" outlineLevel="0" collapsed="false">
      <c r="A49" s="2" t="s">
        <v>58</v>
      </c>
      <c r="B49" s="3" t="n">
        <v>-7603393.99</v>
      </c>
      <c r="C49" s="3" t="n">
        <v>-15439182.32</v>
      </c>
      <c r="D49" s="3" t="n">
        <v>-5096141.94</v>
      </c>
      <c r="E49" s="3" t="n">
        <v>14403802.96</v>
      </c>
      <c r="F49" s="3" t="n">
        <v>4349579.72</v>
      </c>
      <c r="G49" s="3" t="n">
        <v>919422.52</v>
      </c>
      <c r="H49" s="3" t="n">
        <v>5000165.56</v>
      </c>
      <c r="I49" s="3" t="n">
        <v>-2173138.54</v>
      </c>
      <c r="J49" s="3" t="n">
        <v>1060516.68</v>
      </c>
      <c r="K49" s="3" t="n">
        <v>-4247481.74</v>
      </c>
    </row>
    <row r="50" customFormat="false" ht="15" hidden="false" customHeight="false" outlineLevel="0" collapsed="false">
      <c r="A50" s="2" t="s">
        <v>59</v>
      </c>
      <c r="B50" s="3" t="n">
        <v>-123112214.05</v>
      </c>
      <c r="C50" s="3" t="n">
        <v>-11145502.67</v>
      </c>
      <c r="D50" s="3" t="n">
        <v>-12043839.56</v>
      </c>
      <c r="E50" s="3" t="n">
        <v>8501692.38</v>
      </c>
      <c r="F50" s="3" t="n">
        <v>2576405.14</v>
      </c>
      <c r="G50" s="3" t="n">
        <v>-6224747.08</v>
      </c>
      <c r="H50" s="3" t="n">
        <v>10464471.69</v>
      </c>
      <c r="I50" s="3" t="n">
        <v>-224106.83</v>
      </c>
      <c r="J50" s="3" t="n">
        <v>-1770799.92</v>
      </c>
      <c r="K50" s="3" t="n">
        <v>-3115864.76</v>
      </c>
    </row>
    <row r="51" customFormat="false" ht="15" hidden="false" customHeight="false" outlineLevel="0" collapsed="false">
      <c r="A51" s="2" t="s">
        <v>60</v>
      </c>
      <c r="B51" s="3" t="n">
        <v>-81188304.93</v>
      </c>
      <c r="C51" s="3" t="n">
        <v>6672091.97</v>
      </c>
      <c r="D51" s="3" t="n">
        <v>34671433.45</v>
      </c>
      <c r="E51" s="3" t="n">
        <v>-2417473.48</v>
      </c>
      <c r="F51" s="3" t="n">
        <v>14066358.71</v>
      </c>
      <c r="G51" s="3" t="n">
        <v>-1288490.97</v>
      </c>
      <c r="H51" s="3" t="n">
        <v>2880408.76</v>
      </c>
      <c r="I51" s="3" t="n">
        <v>225436.15</v>
      </c>
      <c r="J51" s="3" t="n">
        <v>3544150.6</v>
      </c>
      <c r="K51" s="3" t="n">
        <v>-10455884.59</v>
      </c>
    </row>
    <row r="52" customFormat="false" ht="15" hidden="false" customHeight="false" outlineLevel="0" collapsed="false">
      <c r="A52" s="2" t="s">
        <v>61</v>
      </c>
      <c r="B52" s="3" t="n">
        <v>9452438.8</v>
      </c>
      <c r="C52" s="3" t="n">
        <v>24272609.92</v>
      </c>
      <c r="D52" s="3" t="n">
        <v>31365091.6</v>
      </c>
      <c r="E52" s="3" t="n">
        <v>15059930.42</v>
      </c>
      <c r="F52" s="3" t="n">
        <v>2868389.1</v>
      </c>
      <c r="G52" s="3" t="n">
        <v>2403764.7</v>
      </c>
      <c r="H52" s="3" t="n">
        <v>2265292.09</v>
      </c>
      <c r="I52" s="3" t="n">
        <v>421193.79</v>
      </c>
      <c r="J52" s="3" t="n">
        <v>1233565.56</v>
      </c>
      <c r="K52" s="3" t="n">
        <v>-10135973.14</v>
      </c>
    </row>
    <row r="53" customFormat="false" ht="15" hidden="false" customHeight="false" outlineLevel="0" collapsed="false">
      <c r="A53" s="2" t="s">
        <v>62</v>
      </c>
      <c r="B53" s="3" t="n">
        <v>-86768064.29</v>
      </c>
      <c r="C53" s="3" t="n">
        <v>-50391611.2</v>
      </c>
      <c r="D53" s="3" t="n">
        <v>29812759.19</v>
      </c>
      <c r="E53" s="3" t="n">
        <v>1902760.32</v>
      </c>
      <c r="F53" s="3" t="n">
        <v>42028936.69</v>
      </c>
      <c r="G53" s="3" t="n">
        <v>44706.82</v>
      </c>
      <c r="H53" s="3" t="n">
        <v>3532832.58</v>
      </c>
      <c r="I53" s="3" t="n">
        <v>3313866.56</v>
      </c>
      <c r="J53" s="3" t="n">
        <v>-2977200.35</v>
      </c>
      <c r="K53" s="3" t="n">
        <v>-8076730.04</v>
      </c>
    </row>
    <row r="54" customFormat="false" ht="15" hidden="false" customHeight="false" outlineLevel="0" collapsed="false">
      <c r="A54" s="2" t="s">
        <v>63</v>
      </c>
      <c r="B54" s="3" t="n">
        <v>236901192.18</v>
      </c>
      <c r="C54" s="3" t="n">
        <v>-98082938.26</v>
      </c>
      <c r="D54" s="3" t="n">
        <v>20855478.77</v>
      </c>
      <c r="E54" s="3" t="n">
        <v>207085.26</v>
      </c>
      <c r="F54" s="3" t="n">
        <v>-1951034.84</v>
      </c>
      <c r="G54" s="3" t="n">
        <v>-156407.76</v>
      </c>
      <c r="H54" s="3" t="n">
        <v>4458721.28</v>
      </c>
      <c r="I54" s="3" t="n">
        <v>1339431.9</v>
      </c>
      <c r="J54" s="3" t="n">
        <v>1250203.79</v>
      </c>
      <c r="K54" s="3" t="n">
        <v>-2625191.91</v>
      </c>
    </row>
    <row r="55" customFormat="false" ht="15" hidden="false" customHeight="false" outlineLevel="0" collapsed="false">
      <c r="A55" s="2" t="s">
        <v>64</v>
      </c>
      <c r="B55" s="3" t="n">
        <v>22835697.6</v>
      </c>
      <c r="C55" s="3" t="n">
        <v>-8411964.21</v>
      </c>
      <c r="D55" s="3" t="n">
        <v>23571852.71</v>
      </c>
      <c r="E55" s="3" t="n">
        <v>-3029799.44</v>
      </c>
      <c r="F55" s="3" t="n">
        <v>4975783.34</v>
      </c>
      <c r="G55" s="3" t="n">
        <v>2406900.73</v>
      </c>
      <c r="H55" s="3" t="n">
        <v>2512419.3</v>
      </c>
      <c r="I55" s="3" t="n">
        <v>-7536424.42</v>
      </c>
      <c r="J55" s="3" t="n">
        <v>348356.89</v>
      </c>
      <c r="K55" s="3" t="n">
        <v>-4766066.05</v>
      </c>
    </row>
    <row r="56" customFormat="false" ht="15" hidden="false" customHeight="false" outlineLevel="0" collapsed="false">
      <c r="A56" s="2" t="s">
        <v>65</v>
      </c>
      <c r="B56" s="3" t="n">
        <v>44197210.13</v>
      </c>
      <c r="C56" s="3" t="n">
        <v>11977297.66</v>
      </c>
      <c r="D56" s="3" t="n">
        <v>-15495942.67</v>
      </c>
      <c r="E56" s="3" t="n">
        <v>-11492416.78</v>
      </c>
      <c r="F56" s="3" t="n">
        <v>-557232.73</v>
      </c>
      <c r="G56" s="3" t="n">
        <v>457463.07</v>
      </c>
      <c r="H56" s="3" t="n">
        <v>-2434399.03</v>
      </c>
      <c r="I56" s="3" t="n">
        <v>2969214.1</v>
      </c>
      <c r="J56" s="3" t="n">
        <v>1159522.55</v>
      </c>
      <c r="K56" s="3" t="n">
        <v>9753591.06</v>
      </c>
    </row>
    <row r="57" customFormat="false" ht="15" hidden="false" customHeight="false" outlineLevel="0" collapsed="false">
      <c r="A57" s="2" t="s">
        <v>66</v>
      </c>
      <c r="B57" s="3" t="n">
        <v>-75107133.19</v>
      </c>
      <c r="C57" s="3" t="n">
        <v>-76112406.74</v>
      </c>
      <c r="D57" s="3" t="n">
        <v>-12042327.36</v>
      </c>
      <c r="E57" s="3" t="n">
        <v>12835829.47</v>
      </c>
      <c r="F57" s="3" t="n">
        <v>1790811.56</v>
      </c>
      <c r="G57" s="3" t="n">
        <v>-2227454.38</v>
      </c>
      <c r="H57" s="3" t="n">
        <v>-363259.22</v>
      </c>
      <c r="I57" s="3" t="n">
        <v>-145388.4</v>
      </c>
      <c r="J57" s="3" t="n">
        <v>2388023.19</v>
      </c>
      <c r="K57" s="3" t="n">
        <v>-5640819.67</v>
      </c>
    </row>
    <row r="58" customFormat="false" ht="15" hidden="false" customHeight="false" outlineLevel="0" collapsed="false">
      <c r="A58" s="2" t="s">
        <v>67</v>
      </c>
      <c r="B58" s="3" t="n">
        <v>-88770465.14</v>
      </c>
      <c r="C58" s="3" t="n">
        <v>2811408.37</v>
      </c>
      <c r="D58" s="3" t="n">
        <v>-6199663.55</v>
      </c>
      <c r="E58" s="3" t="n">
        <v>2628428.2</v>
      </c>
      <c r="F58" s="3" t="n">
        <v>-2282409.78</v>
      </c>
      <c r="G58" s="3" t="n">
        <v>713882.33</v>
      </c>
      <c r="H58" s="3" t="n">
        <v>665986.78</v>
      </c>
      <c r="I58" s="3" t="n">
        <v>382360.8</v>
      </c>
      <c r="J58" s="3" t="n">
        <v>-576981.05</v>
      </c>
      <c r="K58" s="3" t="n">
        <v>-2093721.5</v>
      </c>
    </row>
    <row r="59" customFormat="false" ht="15" hidden="false" customHeight="false" outlineLevel="0" collapsed="false">
      <c r="A59" s="2" t="s">
        <v>68</v>
      </c>
      <c r="B59" s="3" t="n">
        <v>-53477208.34</v>
      </c>
      <c r="C59" s="3" t="n">
        <v>-39317192.48</v>
      </c>
      <c r="D59" s="3" t="n">
        <v>22414996.26</v>
      </c>
      <c r="E59" s="3" t="n">
        <v>350125.52</v>
      </c>
      <c r="F59" s="3" t="n">
        <v>2479623.15</v>
      </c>
      <c r="G59" s="3" t="n">
        <v>2884222.97</v>
      </c>
      <c r="H59" s="3" t="n">
        <v>-3896211.05</v>
      </c>
      <c r="I59" s="3" t="n">
        <v>585176.8</v>
      </c>
      <c r="J59" s="3" t="n">
        <v>474800.5</v>
      </c>
      <c r="K59" s="3" t="n">
        <v>-1505219.81</v>
      </c>
    </row>
    <row r="60" customFormat="false" ht="15" hidden="false" customHeight="false" outlineLevel="0" collapsed="false">
      <c r="A60" s="2" t="s">
        <v>69</v>
      </c>
      <c r="B60" s="3" t="n">
        <v>77947555.65</v>
      </c>
      <c r="C60" s="3" t="n">
        <v>-25112052.11</v>
      </c>
      <c r="D60" s="3" t="n">
        <v>22826840.76</v>
      </c>
      <c r="E60" s="3" t="n">
        <v>-8990029.35</v>
      </c>
      <c r="F60" s="3" t="n">
        <v>-1725628.38</v>
      </c>
      <c r="G60" s="3" t="n">
        <v>-972363.88</v>
      </c>
      <c r="H60" s="3" t="n">
        <v>7973886.8</v>
      </c>
      <c r="I60" s="3" t="n">
        <v>747287.72</v>
      </c>
      <c r="J60" s="3" t="n">
        <v>876249.79</v>
      </c>
      <c r="K60" s="3" t="n">
        <v>73679.01</v>
      </c>
    </row>
    <row r="61" customFormat="false" ht="15" hidden="false" customHeight="false" outlineLevel="0" collapsed="false">
      <c r="A61" s="2" t="s">
        <v>70</v>
      </c>
      <c r="B61" s="3" t="n">
        <v>-4406745.29</v>
      </c>
      <c r="C61" s="3" t="n">
        <v>-20139445.08</v>
      </c>
      <c r="D61" s="3" t="n">
        <v>3663575.81</v>
      </c>
      <c r="E61" s="3" t="n">
        <v>-691369.81</v>
      </c>
      <c r="F61" s="3" t="n">
        <v>-14057420.88</v>
      </c>
      <c r="G61" s="3" t="n">
        <v>580908.6</v>
      </c>
      <c r="H61" s="3" t="n">
        <v>4060358.24</v>
      </c>
      <c r="I61" s="3" t="n">
        <v>1889641.01</v>
      </c>
      <c r="J61" s="3" t="n">
        <v>1112894.41</v>
      </c>
      <c r="K61" s="3" t="n">
        <v>-3496460.49</v>
      </c>
    </row>
    <row r="62" customFormat="false" ht="15" hidden="false" customHeight="false" outlineLevel="0" collapsed="false">
      <c r="A62" s="2" t="s">
        <v>71</v>
      </c>
      <c r="B62" s="3" t="n">
        <v>-29576408.95</v>
      </c>
      <c r="C62" s="3" t="n">
        <v>59795997.86</v>
      </c>
      <c r="D62" s="3" t="n">
        <v>19137394.29</v>
      </c>
      <c r="E62" s="3" t="n">
        <v>-41871890.24</v>
      </c>
      <c r="F62" s="3" t="n">
        <v>29736743.63</v>
      </c>
      <c r="G62" s="3" t="n">
        <v>211436.74</v>
      </c>
      <c r="H62" s="3" t="n">
        <v>2165179.55</v>
      </c>
      <c r="I62" s="3" t="n">
        <v>25057.13</v>
      </c>
      <c r="J62" s="3" t="n">
        <v>492119.17</v>
      </c>
      <c r="K62" s="3" t="n">
        <v>6723472.91</v>
      </c>
    </row>
    <row r="63" customFormat="false" ht="15" hidden="false" customHeight="false" outlineLevel="0" collapsed="false">
      <c r="A63" s="2" t="s">
        <v>72</v>
      </c>
      <c r="B63" s="3" t="n">
        <v>9434765.83</v>
      </c>
      <c r="C63" s="3" t="n">
        <v>-1512250.67</v>
      </c>
      <c r="D63" s="3" t="n">
        <v>-13141003.16</v>
      </c>
      <c r="E63" s="3" t="n">
        <v>4250561.58</v>
      </c>
      <c r="F63" s="3" t="n">
        <v>-3033790.9</v>
      </c>
      <c r="G63" s="3" t="n">
        <v>5742351.54</v>
      </c>
      <c r="H63" s="3" t="n">
        <v>-864567.08</v>
      </c>
      <c r="I63" s="3" t="n">
        <v>1657912.14</v>
      </c>
      <c r="J63" s="3" t="n">
        <v>-3956026.8</v>
      </c>
      <c r="K63" s="3" t="n">
        <v>1734419.47</v>
      </c>
    </row>
    <row r="64" customFormat="false" ht="15" hidden="false" customHeight="false" outlineLevel="0" collapsed="false">
      <c r="A64" s="2" t="s">
        <v>73</v>
      </c>
      <c r="B64" s="3" t="n">
        <v>-26479451.49</v>
      </c>
      <c r="C64" s="3" t="n">
        <v>-36349602.09</v>
      </c>
      <c r="D64" s="3" t="n">
        <v>12340502.32</v>
      </c>
      <c r="E64" s="3" t="n">
        <v>9246843.74</v>
      </c>
      <c r="F64" s="3" t="n">
        <v>1336785.96</v>
      </c>
      <c r="G64" s="3" t="n">
        <v>8320520.47</v>
      </c>
      <c r="H64" s="3" t="n">
        <v>-383112.58</v>
      </c>
      <c r="I64" s="3" t="n">
        <v>3943297.15</v>
      </c>
      <c r="J64" s="3" t="n">
        <v>4285510.65</v>
      </c>
      <c r="K64" s="3" t="n">
        <v>-2339732.61</v>
      </c>
    </row>
    <row r="65" customFormat="false" ht="15" hidden="false" customHeight="false" outlineLevel="0" collapsed="false">
      <c r="A65" s="2" t="s">
        <v>74</v>
      </c>
      <c r="B65" s="3" t="n">
        <v>-98482106.75</v>
      </c>
      <c r="C65" s="3" t="n">
        <v>-13998263.87</v>
      </c>
      <c r="D65" s="3" t="n">
        <v>13127479.78</v>
      </c>
      <c r="E65" s="3" t="n">
        <v>-2877451.93</v>
      </c>
      <c r="F65" s="3" t="n">
        <v>5202658.1</v>
      </c>
      <c r="G65" s="3" t="n">
        <v>-1539158.83</v>
      </c>
      <c r="H65" s="3" t="n">
        <v>2080406.27</v>
      </c>
      <c r="I65" s="3" t="n">
        <v>1836228.89</v>
      </c>
      <c r="J65" s="3" t="n">
        <v>86734.41</v>
      </c>
      <c r="K65" s="3" t="n">
        <v>-1965699.87</v>
      </c>
    </row>
    <row r="66" customFormat="false" ht="15" hidden="false" customHeight="false" outlineLevel="0" collapsed="false">
      <c r="A66" s="2" t="s">
        <v>75</v>
      </c>
      <c r="B66" s="3" t="n">
        <v>48708190.55</v>
      </c>
      <c r="C66" s="3" t="n">
        <v>-6895736.59</v>
      </c>
      <c r="D66" s="3" t="n">
        <v>11548554.53</v>
      </c>
      <c r="E66" s="3" t="n">
        <v>-1096185.9</v>
      </c>
      <c r="F66" s="3" t="n">
        <v>10366707.01</v>
      </c>
      <c r="G66" s="3" t="n">
        <v>3972985.63</v>
      </c>
      <c r="H66" s="3" t="n">
        <v>4116115.13</v>
      </c>
      <c r="I66" s="3" t="n">
        <v>525763.58</v>
      </c>
      <c r="J66" s="3" t="n">
        <v>1840666.28</v>
      </c>
      <c r="K66" s="3" t="n">
        <v>-1343802.52</v>
      </c>
    </row>
    <row r="67" customFormat="false" ht="15" hidden="false" customHeight="false" outlineLevel="0" collapsed="false">
      <c r="A67" s="2" t="s">
        <v>76</v>
      </c>
      <c r="B67" s="3" t="n">
        <v>59438474.77</v>
      </c>
      <c r="C67" s="3" t="n">
        <v>-5410082.19</v>
      </c>
      <c r="D67" s="3" t="n">
        <v>770568.87</v>
      </c>
      <c r="E67" s="3" t="n">
        <v>-1259001.94</v>
      </c>
      <c r="F67" s="3" t="n">
        <v>14327457.77</v>
      </c>
      <c r="G67" s="3" t="n">
        <v>-4414157.95</v>
      </c>
      <c r="H67" s="3" t="n">
        <v>-3084577.72</v>
      </c>
      <c r="I67" s="3" t="n">
        <v>1556284.09</v>
      </c>
      <c r="J67" s="3" t="n">
        <v>-1118524</v>
      </c>
      <c r="K67" s="3" t="n">
        <v>-598175.13</v>
      </c>
    </row>
    <row r="68" customFormat="false" ht="15" hidden="false" customHeight="false" outlineLevel="0" collapsed="false">
      <c r="A68" s="2" t="s">
        <v>77</v>
      </c>
      <c r="B68" s="3" t="n">
        <v>2166207.7</v>
      </c>
      <c r="C68" s="3" t="n">
        <v>-6791479.87</v>
      </c>
      <c r="D68" s="3" t="n">
        <v>19603195.37</v>
      </c>
      <c r="E68" s="3" t="n">
        <v>24415.27</v>
      </c>
      <c r="F68" s="3" t="n">
        <v>2283732.84</v>
      </c>
      <c r="G68" s="3" t="n">
        <v>1351676.67</v>
      </c>
      <c r="H68" s="3" t="n">
        <v>1771530.1</v>
      </c>
      <c r="I68" s="3" t="n">
        <v>422693.82</v>
      </c>
      <c r="J68" s="3" t="n">
        <v>483949.74</v>
      </c>
      <c r="K68" s="3" t="n">
        <v>153941.14</v>
      </c>
    </row>
    <row r="69" customFormat="false" ht="15" hidden="false" customHeight="false" outlineLevel="0" collapsed="false">
      <c r="A69" s="2" t="s">
        <v>78</v>
      </c>
      <c r="B69" s="3" t="n">
        <v>-98083.99</v>
      </c>
      <c r="C69" s="3" t="n">
        <v>-21317517.15</v>
      </c>
      <c r="D69" s="3" t="n">
        <v>-1230796.81</v>
      </c>
      <c r="E69" s="3" t="n">
        <v>511553.35</v>
      </c>
      <c r="F69" s="3" t="n">
        <v>2902600.46</v>
      </c>
      <c r="G69" s="3" t="n">
        <v>-21733.5</v>
      </c>
      <c r="H69" s="3" t="n">
        <v>888876.62</v>
      </c>
      <c r="I69" s="3" t="n">
        <v>533076.41</v>
      </c>
      <c r="J69" s="3" t="n">
        <v>1403564.72</v>
      </c>
      <c r="K69" s="3" t="n">
        <v>-285190.36</v>
      </c>
    </row>
    <row r="70" customFormat="false" ht="15" hidden="false" customHeight="false" outlineLevel="0" collapsed="false">
      <c r="A70" s="2" t="s">
        <v>79</v>
      </c>
      <c r="B70" s="3" t="n">
        <v>7466963.47</v>
      </c>
      <c r="C70" s="3" t="n">
        <v>-46262733.56</v>
      </c>
      <c r="D70" s="3" t="n">
        <v>3502334.7</v>
      </c>
      <c r="E70" s="3" t="n">
        <v>1482745.24</v>
      </c>
      <c r="F70" s="3" t="n">
        <v>1067593.53</v>
      </c>
      <c r="G70" s="3" t="n">
        <v>2204605.27</v>
      </c>
      <c r="H70" s="3" t="n">
        <v>-379586.96</v>
      </c>
      <c r="I70" s="3" t="n">
        <v>2319061.22</v>
      </c>
      <c r="J70" s="3" t="n">
        <v>-750481.46</v>
      </c>
      <c r="K70" s="3" t="n">
        <v>1296412.63</v>
      </c>
    </row>
    <row r="71" customFormat="false" ht="15" hidden="false" customHeight="false" outlineLevel="0" collapsed="false">
      <c r="A71" s="2" t="s">
        <v>80</v>
      </c>
      <c r="B71" s="3" t="n">
        <v>4827173.59</v>
      </c>
      <c r="C71" s="3" t="n">
        <v>-45803785.24</v>
      </c>
      <c r="D71" s="3" t="n">
        <v>12414660.79</v>
      </c>
      <c r="E71" s="3" t="n">
        <v>-22571353.3</v>
      </c>
      <c r="F71" s="3" t="n">
        <v>1069217.15</v>
      </c>
      <c r="G71" s="3" t="n">
        <v>3519657.81</v>
      </c>
      <c r="H71" s="3" t="n">
        <v>-4299396.1</v>
      </c>
      <c r="I71" s="3" t="n">
        <v>-3188900.8</v>
      </c>
      <c r="J71" s="3" t="n">
        <v>3277500.43</v>
      </c>
      <c r="K71" s="3" t="n">
        <v>-1016265.78</v>
      </c>
    </row>
    <row r="72" customFormat="false" ht="15" hidden="false" customHeight="false" outlineLevel="0" collapsed="false">
      <c r="A72" s="2" t="s">
        <v>81</v>
      </c>
      <c r="B72" s="3" t="n">
        <v>-26979040.51</v>
      </c>
      <c r="C72" s="3" t="n">
        <v>-103865835.55</v>
      </c>
      <c r="D72" s="3" t="n">
        <v>6597900.57</v>
      </c>
      <c r="E72" s="3" t="n">
        <v>11984340.38</v>
      </c>
      <c r="F72" s="3" t="n">
        <v>-1779450.56</v>
      </c>
      <c r="G72" s="3" t="n">
        <v>-867552.08</v>
      </c>
      <c r="H72" s="3" t="n">
        <v>3414850.63</v>
      </c>
      <c r="I72" s="3" t="n">
        <v>-2988431.83</v>
      </c>
      <c r="J72" s="3" t="n">
        <v>-210704.09</v>
      </c>
      <c r="K72" s="3" t="n">
        <v>-706292.09</v>
      </c>
    </row>
    <row r="73" customFormat="false" ht="15" hidden="false" customHeight="false" outlineLevel="0" collapsed="false">
      <c r="A73" s="2" t="s">
        <v>82</v>
      </c>
      <c r="B73" s="3" t="n">
        <v>-58388619.22</v>
      </c>
      <c r="C73" s="3" t="n">
        <v>-7720074.33</v>
      </c>
      <c r="D73" s="3" t="n">
        <v>1400847.68</v>
      </c>
      <c r="E73" s="3" t="n">
        <v>695699.68</v>
      </c>
      <c r="F73" s="3" t="n">
        <v>-5876252.4</v>
      </c>
      <c r="G73" s="3" t="n">
        <v>2574502.57</v>
      </c>
      <c r="H73" s="3" t="n">
        <v>2593218.5</v>
      </c>
      <c r="I73" s="3" t="n">
        <v>-4231685.66</v>
      </c>
      <c r="J73" s="3" t="n">
        <v>-409109.13</v>
      </c>
      <c r="K73" s="3" t="n">
        <v>-2178081.87</v>
      </c>
    </row>
    <row r="74" customFormat="false" ht="15" hidden="false" customHeight="false" outlineLevel="0" collapsed="false">
      <c r="A74" s="2" t="s">
        <v>83</v>
      </c>
      <c r="B74" s="3" t="n">
        <v>-74118525.22</v>
      </c>
      <c r="C74" s="3" t="n">
        <v>7182466.87</v>
      </c>
      <c r="D74" s="3" t="n">
        <v>7290948.62</v>
      </c>
      <c r="E74" s="3" t="n">
        <v>-10592173.7</v>
      </c>
      <c r="F74" s="3" t="n">
        <v>11818862.98</v>
      </c>
      <c r="G74" s="3" t="n">
        <v>5981660.5</v>
      </c>
      <c r="H74" s="3" t="n">
        <v>325029.48</v>
      </c>
      <c r="I74" s="3" t="n">
        <v>3016658.96</v>
      </c>
      <c r="J74" s="3" t="n">
        <v>324232.67</v>
      </c>
      <c r="K74" s="3" t="n">
        <v>-2831574.82</v>
      </c>
    </row>
    <row r="75" customFormat="false" ht="15" hidden="false" customHeight="false" outlineLevel="0" collapsed="false">
      <c r="A75" s="2" t="s">
        <v>84</v>
      </c>
      <c r="B75" s="3" t="n">
        <v>54734087</v>
      </c>
      <c r="C75" s="3" t="n">
        <v>-14945804.04</v>
      </c>
      <c r="D75" s="3" t="n">
        <v>15146008.87</v>
      </c>
      <c r="E75" s="3" t="n">
        <v>-4788491.4</v>
      </c>
      <c r="F75" s="3" t="n">
        <v>-7293389.03</v>
      </c>
      <c r="G75" s="3" t="n">
        <v>5384780.84</v>
      </c>
      <c r="H75" s="3" t="n">
        <v>-1917718.74</v>
      </c>
      <c r="I75" s="3" t="n">
        <v>286449.25</v>
      </c>
      <c r="J75" s="3" t="n">
        <v>638106.72</v>
      </c>
      <c r="K75" s="3" t="n">
        <v>-3209107.63</v>
      </c>
    </row>
    <row r="76" customFormat="false" ht="15" hidden="false" customHeight="false" outlineLevel="0" collapsed="false">
      <c r="A76" s="2" t="s">
        <v>85</v>
      </c>
      <c r="B76" s="3" t="n">
        <v>-89566918.58</v>
      </c>
      <c r="C76" s="3" t="n">
        <v>-39562189.68</v>
      </c>
      <c r="D76" s="3" t="n">
        <v>-1219482.65</v>
      </c>
      <c r="E76" s="3" t="n">
        <v>6774307.79</v>
      </c>
      <c r="F76" s="3" t="n">
        <v>-1975961.25</v>
      </c>
      <c r="G76" s="3" t="n">
        <v>4688346.75</v>
      </c>
      <c r="H76" s="3" t="n">
        <v>2175026.6</v>
      </c>
      <c r="I76" s="3" t="n">
        <v>1240590.73</v>
      </c>
      <c r="J76" s="3" t="n">
        <v>592686.63</v>
      </c>
      <c r="K76" s="3" t="n">
        <v>-943486.11</v>
      </c>
    </row>
    <row r="77" customFormat="false" ht="15" hidden="false" customHeight="false" outlineLevel="0" collapsed="false">
      <c r="A77" s="2" t="s">
        <v>86</v>
      </c>
      <c r="B77" s="3" t="n">
        <v>3642262.13</v>
      </c>
      <c r="C77" s="3" t="n">
        <v>4026953.03</v>
      </c>
      <c r="D77" s="3" t="n">
        <v>3354399.27</v>
      </c>
      <c r="E77" s="3" t="n">
        <v>7040439.54</v>
      </c>
      <c r="F77" s="3" t="n">
        <v>-8249117.59</v>
      </c>
      <c r="G77" s="3" t="n">
        <v>8734111.77</v>
      </c>
      <c r="H77" s="3" t="n">
        <v>2721883.62</v>
      </c>
      <c r="I77" s="3" t="n">
        <v>-1764225.13</v>
      </c>
      <c r="J77" s="3" t="n">
        <v>59399.95</v>
      </c>
      <c r="K77" s="3" t="n">
        <v>-333199.95</v>
      </c>
    </row>
    <row r="78" customFormat="false" ht="15" hidden="false" customHeight="false" outlineLevel="0" collapsed="false">
      <c r="A78" s="2" t="s">
        <v>87</v>
      </c>
      <c r="B78" s="3" t="n">
        <v>-46827521.53</v>
      </c>
      <c r="C78" s="3" t="n">
        <v>5648465.07</v>
      </c>
      <c r="D78" s="3" t="n">
        <v>1531510.97</v>
      </c>
      <c r="E78" s="3" t="n">
        <v>5352355.5</v>
      </c>
      <c r="F78" s="3" t="n">
        <v>-9453889.7</v>
      </c>
      <c r="G78" s="3" t="n">
        <v>89309.23</v>
      </c>
      <c r="H78" s="3" t="n">
        <v>3954938.99</v>
      </c>
      <c r="I78" s="3" t="n">
        <v>-214309.21</v>
      </c>
      <c r="J78" s="3" t="n">
        <v>-19432.57</v>
      </c>
      <c r="K78" s="3" t="n">
        <v>5111803.29</v>
      </c>
    </row>
    <row r="79" customFormat="false" ht="15" hidden="false" customHeight="false" outlineLevel="0" collapsed="false">
      <c r="A79" s="2" t="s">
        <v>88</v>
      </c>
      <c r="B79" s="3" t="n">
        <v>104250629.47</v>
      </c>
      <c r="C79" s="3" t="n">
        <v>16991761.3</v>
      </c>
      <c r="D79" s="3" t="n">
        <v>9135744.09</v>
      </c>
      <c r="E79" s="3" t="n">
        <v>6099589.63</v>
      </c>
      <c r="F79" s="3" t="n">
        <v>13136399.09</v>
      </c>
      <c r="G79" s="3" t="n">
        <v>-88109.96</v>
      </c>
      <c r="H79" s="3" t="n">
        <v>4694148.42</v>
      </c>
      <c r="I79" s="3" t="n">
        <v>7099304.37</v>
      </c>
      <c r="J79" s="3" t="n">
        <v>133182.48</v>
      </c>
      <c r="K79" s="3" t="n">
        <v>-2458672.27</v>
      </c>
    </row>
    <row r="80" customFormat="false" ht="15" hidden="false" customHeight="false" outlineLevel="0" collapsed="false">
      <c r="A80" s="2" t="s">
        <v>89</v>
      </c>
      <c r="B80" s="3" t="n">
        <v>-133420726.29</v>
      </c>
      <c r="C80" s="3" t="n">
        <v>-28642250.36</v>
      </c>
      <c r="D80" s="3" t="n">
        <v>-8932327.43</v>
      </c>
      <c r="E80" s="3" t="n">
        <v>-626669.66</v>
      </c>
      <c r="F80" s="3" t="n">
        <v>-4502980.44</v>
      </c>
      <c r="G80" s="3" t="n">
        <v>-9756225.06</v>
      </c>
      <c r="H80" s="3" t="n">
        <v>-7400468.58</v>
      </c>
      <c r="I80" s="3" t="n">
        <v>-875568.65</v>
      </c>
      <c r="J80" s="3" t="n">
        <v>-1355932.7</v>
      </c>
      <c r="K80" s="3" t="n">
        <v>1007017.95</v>
      </c>
    </row>
    <row r="81" customFormat="false" ht="15" hidden="false" customHeight="false" outlineLevel="0" collapsed="false">
      <c r="A81" s="2" t="s">
        <v>90</v>
      </c>
      <c r="B81" s="3" t="n">
        <v>29593900.85</v>
      </c>
      <c r="C81" s="3" t="n">
        <v>-36348558.37</v>
      </c>
      <c r="D81" s="3" t="n">
        <v>487469.99</v>
      </c>
      <c r="E81" s="3" t="n">
        <v>562008.13</v>
      </c>
      <c r="F81" s="3" t="n">
        <v>-8677205.86</v>
      </c>
      <c r="G81" s="3" t="n">
        <v>-3809728.83</v>
      </c>
      <c r="H81" s="3" t="n">
        <v>-4502154.83</v>
      </c>
      <c r="I81" s="3" t="n">
        <v>4050739.22</v>
      </c>
      <c r="J81" s="3" t="n">
        <v>2091051.74</v>
      </c>
      <c r="K81" s="3" t="n">
        <v>-2450532.21</v>
      </c>
    </row>
    <row r="82" customFormat="false" ht="15" hidden="false" customHeight="false" outlineLevel="0" collapsed="false">
      <c r="A82" s="2" t="s">
        <v>91</v>
      </c>
      <c r="B82" s="3" t="n">
        <v>-15716083.68</v>
      </c>
      <c r="C82" s="3" t="n">
        <v>-714735.17</v>
      </c>
      <c r="D82" s="3" t="n">
        <v>2825094.22</v>
      </c>
      <c r="E82" s="3" t="n">
        <v>-381233.89</v>
      </c>
      <c r="F82" s="3" t="n">
        <v>891190.39</v>
      </c>
      <c r="G82" s="3" t="n">
        <v>591633.15</v>
      </c>
      <c r="H82" s="3" t="n">
        <v>1709682.33</v>
      </c>
      <c r="I82" s="3" t="n">
        <v>-35492.67</v>
      </c>
      <c r="J82" s="3" t="n">
        <v>125005.25</v>
      </c>
      <c r="K82" s="3" t="n">
        <v>-1430343.02</v>
      </c>
    </row>
    <row r="83" customFormat="false" ht="15" hidden="false" customHeight="false" outlineLevel="0" collapsed="false">
      <c r="A83" s="2" t="s">
        <v>92</v>
      </c>
      <c r="B83" s="3" t="n">
        <v>16477200.45</v>
      </c>
      <c r="C83" s="3" t="n">
        <v>-11899269.18</v>
      </c>
      <c r="D83" s="3" t="n">
        <v>2596462</v>
      </c>
      <c r="E83" s="3" t="n">
        <v>-1585105.11</v>
      </c>
      <c r="F83" s="3" t="n">
        <v>2598071.88</v>
      </c>
      <c r="G83" s="3" t="n">
        <v>3690972.44</v>
      </c>
      <c r="H83" s="3" t="n">
        <v>1837460.91</v>
      </c>
      <c r="I83" s="3" t="n">
        <v>651388.36</v>
      </c>
      <c r="J83" s="3" t="n">
        <v>1227405.58</v>
      </c>
      <c r="K83" s="3" t="n">
        <v>-1714129.62</v>
      </c>
    </row>
    <row r="84" customFormat="false" ht="15" hidden="false" customHeight="false" outlineLevel="0" collapsed="false">
      <c r="A84" s="2" t="s">
        <v>93</v>
      </c>
      <c r="B84" s="3" t="n">
        <v>279725768.47</v>
      </c>
      <c r="C84" s="3" t="n">
        <v>41994411.6</v>
      </c>
      <c r="D84" s="3" t="n">
        <v>33182915.29</v>
      </c>
      <c r="E84" s="3" t="n">
        <v>-2720739.64</v>
      </c>
      <c r="F84" s="3" t="n">
        <v>5305181.51</v>
      </c>
      <c r="G84" s="3" t="n">
        <v>14465589.21</v>
      </c>
      <c r="H84" s="3" t="n">
        <v>6689241.24</v>
      </c>
      <c r="I84" s="3" t="n">
        <v>122934.17</v>
      </c>
      <c r="J84" s="3" t="n">
        <v>504337.7</v>
      </c>
      <c r="K84" s="3" t="n">
        <v>-2610764.05</v>
      </c>
    </row>
    <row r="85" customFormat="false" ht="15" hidden="false" customHeight="false" outlineLevel="0" collapsed="false">
      <c r="A85" s="2" t="s">
        <v>94</v>
      </c>
      <c r="B85" s="3" t="n">
        <v>179102030.41</v>
      </c>
      <c r="C85" s="3" t="n">
        <v>49790431.02</v>
      </c>
      <c r="D85" s="3" t="n">
        <v>6269190.16</v>
      </c>
      <c r="E85" s="3" t="n">
        <v>480740.91</v>
      </c>
      <c r="F85" s="3" t="n">
        <v>-848878.21</v>
      </c>
      <c r="G85" s="3" t="n">
        <v>2784258.61</v>
      </c>
      <c r="H85" s="3" t="n">
        <v>231228.26</v>
      </c>
      <c r="I85" s="3" t="n">
        <v>411188.73</v>
      </c>
      <c r="J85" s="3" t="n">
        <v>-1117311.05</v>
      </c>
      <c r="K85" s="3" t="n">
        <v>-1575492.13</v>
      </c>
    </row>
    <row r="86" customFormat="false" ht="15" hidden="false" customHeight="false" outlineLevel="0" collapsed="false">
      <c r="A86" s="2" t="s">
        <v>95</v>
      </c>
      <c r="B86" s="3" t="n">
        <v>-100717289.63</v>
      </c>
      <c r="C86" s="3" t="n">
        <v>-177923871.07</v>
      </c>
      <c r="D86" s="3" t="n">
        <v>-47913694.25</v>
      </c>
      <c r="E86" s="3" t="n">
        <v>2355887.58</v>
      </c>
      <c r="F86" s="3" t="n">
        <v>4896412.61</v>
      </c>
      <c r="G86" s="3" t="n">
        <v>1423101.01</v>
      </c>
      <c r="H86" s="3" t="n">
        <v>3640827.88</v>
      </c>
      <c r="I86" s="3" t="n">
        <v>-2806597.11</v>
      </c>
      <c r="J86" s="3" t="n">
        <v>-253225.5</v>
      </c>
      <c r="K86" s="3" t="n">
        <v>-398935.34</v>
      </c>
    </row>
    <row r="87" customFormat="false" ht="15" hidden="false" customHeight="false" outlineLevel="0" collapsed="false">
      <c r="A87" s="2" t="s">
        <v>96</v>
      </c>
      <c r="B87" s="3" t="n">
        <v>-61559534.39</v>
      </c>
      <c r="C87" s="3" t="n">
        <v>-13534509.17</v>
      </c>
      <c r="D87" s="3" t="n">
        <v>45009070.36</v>
      </c>
      <c r="E87" s="3" t="n">
        <v>-5923909.44</v>
      </c>
      <c r="F87" s="3" t="n">
        <v>-4544155.41</v>
      </c>
      <c r="G87" s="3" t="n">
        <v>-8758323.4</v>
      </c>
      <c r="H87" s="3" t="n">
        <v>-3275566.79</v>
      </c>
      <c r="I87" s="3" t="n">
        <v>-5715266.14</v>
      </c>
      <c r="J87" s="3" t="n">
        <v>-1182887.59</v>
      </c>
      <c r="K87" s="3" t="n">
        <v>-135535.71</v>
      </c>
    </row>
    <row r="88" customFormat="false" ht="15" hidden="false" customHeight="false" outlineLevel="0" collapsed="false">
      <c r="A88" s="2" t="s">
        <v>97</v>
      </c>
      <c r="B88" s="3" t="n">
        <v>-280683282.94</v>
      </c>
      <c r="C88" s="3" t="n">
        <v>-50533356.28</v>
      </c>
      <c r="D88" s="3" t="n">
        <v>-1794380.73</v>
      </c>
      <c r="E88" s="3" t="n">
        <v>8700207.56</v>
      </c>
      <c r="F88" s="3" t="n">
        <v>4134337.28</v>
      </c>
      <c r="G88" s="3" t="n">
        <v>-5745644.86</v>
      </c>
      <c r="H88" s="3" t="n">
        <v>-3371186.72</v>
      </c>
      <c r="I88" s="3" t="n">
        <v>-242565.9</v>
      </c>
      <c r="J88" s="3" t="n">
        <v>242142.98</v>
      </c>
      <c r="K88" s="3" t="n">
        <v>1458890.67</v>
      </c>
    </row>
    <row r="89" customFormat="false" ht="15" hidden="false" customHeight="false" outlineLevel="0" collapsed="false">
      <c r="A89" s="2" t="s">
        <v>98</v>
      </c>
      <c r="B89" s="3" t="n">
        <v>-107108429.1</v>
      </c>
      <c r="C89" s="3" t="n">
        <v>-3184442.9</v>
      </c>
      <c r="D89" s="3" t="n">
        <v>7602533.81</v>
      </c>
      <c r="E89" s="3" t="n">
        <v>-1109332.85</v>
      </c>
      <c r="F89" s="3" t="n">
        <v>5151881.78</v>
      </c>
      <c r="G89" s="3" t="n">
        <v>-779234.37</v>
      </c>
      <c r="H89" s="3" t="n">
        <v>623909.47</v>
      </c>
      <c r="I89" s="3" t="n">
        <v>348047.52</v>
      </c>
      <c r="J89" s="3" t="n">
        <v>402706.06</v>
      </c>
      <c r="K89" s="3" t="n">
        <v>-13431.92</v>
      </c>
    </row>
    <row r="90" customFormat="false" ht="15" hidden="false" customHeight="false" outlineLevel="0" collapsed="false">
      <c r="A90" s="2" t="s">
        <v>99</v>
      </c>
      <c r="B90" s="3" t="n">
        <v>-98900594.07</v>
      </c>
      <c r="C90" s="3" t="n">
        <v>-9751453.27</v>
      </c>
      <c r="D90" s="3" t="n">
        <v>6254589.22</v>
      </c>
      <c r="E90" s="3" t="n">
        <v>-746462.09</v>
      </c>
      <c r="F90" s="3" t="n">
        <v>18939712.77</v>
      </c>
      <c r="G90" s="3" t="n">
        <v>2574695.14</v>
      </c>
      <c r="H90" s="3" t="n">
        <v>2246707.73</v>
      </c>
      <c r="I90" s="3" t="n">
        <v>-2038641.73</v>
      </c>
      <c r="J90" s="3" t="n">
        <v>69439.58</v>
      </c>
      <c r="K90" s="3" t="n">
        <v>407357.31</v>
      </c>
    </row>
    <row r="91" customFormat="false" ht="15" hidden="false" customHeight="false" outlineLevel="0" collapsed="false">
      <c r="A91" s="2" t="s">
        <v>100</v>
      </c>
      <c r="B91" s="3" t="n">
        <v>-90789027.67</v>
      </c>
      <c r="C91" s="3" t="n">
        <v>624669.48</v>
      </c>
      <c r="D91" s="3" t="n">
        <v>27237471.99</v>
      </c>
      <c r="E91" s="3" t="n">
        <v>-11628614.61</v>
      </c>
      <c r="F91" s="3" t="n">
        <v>5578389.75</v>
      </c>
      <c r="G91" s="3" t="n">
        <v>32353182.1</v>
      </c>
      <c r="H91" s="3" t="n">
        <v>-8299473.64</v>
      </c>
      <c r="I91" s="3" t="n">
        <v>-345771.69</v>
      </c>
      <c r="J91" s="3" t="n">
        <v>405887.79</v>
      </c>
      <c r="K91" s="3" t="n">
        <v>-515908.67</v>
      </c>
    </row>
    <row r="92" customFormat="false" ht="15" hidden="false" customHeight="false" outlineLevel="0" collapsed="false">
      <c r="A92" s="2" t="s">
        <v>101</v>
      </c>
      <c r="B92" s="3" t="n">
        <v>-160821420.69</v>
      </c>
      <c r="C92" s="3" t="n">
        <v>-22643385.92</v>
      </c>
      <c r="D92" s="3" t="n">
        <v>3186728.43</v>
      </c>
      <c r="E92" s="3" t="n">
        <v>10860641.46</v>
      </c>
      <c r="F92" s="3" t="n">
        <v>4993807.73</v>
      </c>
      <c r="G92" s="3" t="n">
        <v>725018.14</v>
      </c>
      <c r="H92" s="3" t="n">
        <v>2693619.63</v>
      </c>
      <c r="I92" s="3" t="n">
        <v>-372550.52</v>
      </c>
      <c r="J92" s="3" t="n">
        <v>240522.17</v>
      </c>
      <c r="K92" s="3" t="n">
        <v>-399308.76</v>
      </c>
    </row>
    <row r="93" customFormat="false" ht="15" hidden="false" customHeight="false" outlineLevel="0" collapsed="false">
      <c r="A93" s="2" t="s">
        <v>102</v>
      </c>
      <c r="B93" s="3" t="n">
        <v>-69708959.63</v>
      </c>
      <c r="C93" s="3" t="n">
        <v>-65503330.94</v>
      </c>
      <c r="D93" s="3" t="n">
        <v>-3592216.24</v>
      </c>
      <c r="E93" s="3" t="n">
        <v>20685430.06</v>
      </c>
      <c r="F93" s="3" t="n">
        <v>2051872.86</v>
      </c>
      <c r="G93" s="3" t="n">
        <v>-2265445.74</v>
      </c>
      <c r="H93" s="3" t="n">
        <v>-3259000.92</v>
      </c>
      <c r="I93" s="3" t="n">
        <v>849808.43</v>
      </c>
      <c r="J93" s="3" t="n">
        <v>3824.19</v>
      </c>
      <c r="K93" s="3" t="n">
        <v>1491880.57</v>
      </c>
    </row>
    <row r="94" customFormat="false" ht="15" hidden="false" customHeight="false" outlineLevel="0" collapsed="false">
      <c r="A94" s="2" t="s">
        <v>103</v>
      </c>
      <c r="B94" s="3" t="n">
        <v>-134935980.79</v>
      </c>
      <c r="C94" s="3" t="n">
        <v>-100045404.91</v>
      </c>
      <c r="D94" s="3" t="n">
        <v>-4298735.28</v>
      </c>
      <c r="E94" s="3" t="n">
        <v>-1156643.9</v>
      </c>
      <c r="F94" s="3" t="n">
        <v>2244595.68</v>
      </c>
      <c r="G94" s="3" t="n">
        <v>1016906.75</v>
      </c>
      <c r="H94" s="3" t="n">
        <v>-3579484.96</v>
      </c>
      <c r="I94" s="3" t="n">
        <v>-2061080.07</v>
      </c>
      <c r="J94" s="3" t="n">
        <v>-1000661.09</v>
      </c>
      <c r="K94" s="3" t="n">
        <v>542570.04</v>
      </c>
    </row>
    <row r="95" customFormat="false" ht="15" hidden="false" customHeight="false" outlineLevel="0" collapsed="false">
      <c r="A95" s="2" t="s">
        <v>104</v>
      </c>
      <c r="B95" s="3" t="n">
        <v>-210929521.34</v>
      </c>
      <c r="C95" s="3" t="n">
        <v>-43955314.49</v>
      </c>
      <c r="D95" s="3" t="n">
        <v>304525.89</v>
      </c>
      <c r="E95" s="3" t="n">
        <v>-2300208.86</v>
      </c>
      <c r="F95" s="3" t="n">
        <v>-9088701.6</v>
      </c>
      <c r="G95" s="3" t="n">
        <v>-411787.6</v>
      </c>
      <c r="H95" s="3" t="n">
        <v>-699822.57</v>
      </c>
      <c r="I95" s="3" t="n">
        <v>-1486675.54</v>
      </c>
      <c r="J95" s="3" t="n">
        <v>569708.13</v>
      </c>
      <c r="K95" s="3" t="n">
        <v>-5312.65</v>
      </c>
    </row>
    <row r="96" customFormat="false" ht="15" hidden="false" customHeight="false" outlineLevel="0" collapsed="false">
      <c r="A96" s="2" t="s">
        <v>105</v>
      </c>
      <c r="B96" s="3" t="n">
        <v>-68119749.68</v>
      </c>
      <c r="C96" s="3" t="n">
        <v>-23104931.75</v>
      </c>
      <c r="D96" s="3" t="n">
        <v>7052417.88</v>
      </c>
      <c r="E96" s="3" t="n">
        <v>17810605.34</v>
      </c>
      <c r="F96" s="3" t="n">
        <v>7485308.14</v>
      </c>
      <c r="G96" s="3" t="n">
        <v>1143241.52</v>
      </c>
      <c r="H96" s="3" t="n">
        <v>5031349.06</v>
      </c>
      <c r="I96" s="3" t="n">
        <v>-1431314.03</v>
      </c>
      <c r="J96" s="3" t="n">
        <v>818833.4</v>
      </c>
      <c r="K96" s="3" t="n">
        <v>-244002.03</v>
      </c>
    </row>
    <row r="97" customFormat="false" ht="15" hidden="false" customHeight="false" outlineLevel="0" collapsed="false">
      <c r="A97" s="2" t="s">
        <v>106</v>
      </c>
      <c r="B97" s="3" t="n">
        <v>-5310853.34</v>
      </c>
      <c r="C97" s="3" t="n">
        <v>-1275035.98</v>
      </c>
      <c r="D97" s="3" t="n">
        <v>808463.41</v>
      </c>
      <c r="E97" s="3" t="n">
        <v>-1025308.96</v>
      </c>
      <c r="F97" s="3" t="n">
        <v>-398741.62</v>
      </c>
      <c r="G97" s="3" t="n">
        <v>-4868556.32</v>
      </c>
      <c r="H97" s="3" t="n">
        <v>-471733.68</v>
      </c>
      <c r="I97" s="3" t="n">
        <v>1805339.31</v>
      </c>
      <c r="J97" s="3" t="n">
        <v>-749384.57</v>
      </c>
      <c r="K97" s="3" t="n">
        <v>2000928.46</v>
      </c>
    </row>
    <row r="98" customFormat="false" ht="15" hidden="false" customHeight="false" outlineLevel="0" collapsed="false">
      <c r="A98" s="2" t="s">
        <v>107</v>
      </c>
      <c r="B98" s="3" t="n">
        <v>-56007899.68</v>
      </c>
      <c r="C98" s="3" t="n">
        <v>-95506059.26</v>
      </c>
      <c r="D98" s="3" t="n">
        <v>1074820.71</v>
      </c>
      <c r="E98" s="3" t="n">
        <v>-4554804.89</v>
      </c>
      <c r="F98" s="3" t="n">
        <v>-8810264.82</v>
      </c>
      <c r="G98" s="3" t="n">
        <v>-1458911.7</v>
      </c>
      <c r="H98" s="3" t="n">
        <v>1629583.26</v>
      </c>
      <c r="I98" s="3" t="n">
        <v>1307785.04</v>
      </c>
      <c r="J98" s="3" t="n">
        <v>483698.22</v>
      </c>
      <c r="K98" s="3" t="n">
        <v>1452386.38</v>
      </c>
    </row>
    <row r="99" customFormat="false" ht="15" hidden="false" customHeight="false" outlineLevel="0" collapsed="false">
      <c r="A99" s="2" t="s">
        <v>108</v>
      </c>
      <c r="B99" s="3" t="n">
        <v>-37802558.96</v>
      </c>
      <c r="C99" s="3" t="n">
        <v>-25127462.03</v>
      </c>
      <c r="D99" s="3" t="n">
        <v>514436.55</v>
      </c>
      <c r="E99" s="3" t="n">
        <v>-1105066.22</v>
      </c>
      <c r="F99" s="3" t="n">
        <v>-1838375.62</v>
      </c>
      <c r="G99" s="3" t="n">
        <v>458012.95</v>
      </c>
      <c r="H99" s="3" t="n">
        <v>2559977.98</v>
      </c>
      <c r="I99" s="3" t="n">
        <v>996422.1</v>
      </c>
      <c r="J99" s="3" t="n">
        <v>198152.66</v>
      </c>
      <c r="K99" s="3" t="n">
        <v>-127637</v>
      </c>
    </row>
    <row r="100" customFormat="false" ht="15" hidden="false" customHeight="false" outlineLevel="0" collapsed="false">
      <c r="A100" s="2" t="s">
        <v>109</v>
      </c>
      <c r="B100" s="3" t="n">
        <v>-101333930.49</v>
      </c>
      <c r="C100" s="3" t="n">
        <v>24758603.79</v>
      </c>
      <c r="D100" s="3" t="n">
        <v>2313897.4</v>
      </c>
      <c r="E100" s="3" t="n">
        <v>-2101935.48</v>
      </c>
      <c r="F100" s="3" t="n">
        <v>1609474.81</v>
      </c>
      <c r="G100" s="3" t="n">
        <v>-813878.53</v>
      </c>
      <c r="H100" s="3" t="n">
        <v>-674148.19</v>
      </c>
      <c r="I100" s="3" t="n">
        <v>319036.66</v>
      </c>
      <c r="J100" s="3" t="n">
        <v>626913.9</v>
      </c>
      <c r="K100" s="3" t="n">
        <v>-42581.26</v>
      </c>
    </row>
    <row r="101" customFormat="false" ht="15" hidden="false" customHeight="false" outlineLevel="0" collapsed="false">
      <c r="A101" s="2" t="s">
        <v>110</v>
      </c>
      <c r="B101" s="3" t="n">
        <v>15050457.88</v>
      </c>
      <c r="C101" s="3" t="n">
        <v>-30788958.9</v>
      </c>
      <c r="D101" s="3" t="n">
        <v>-3142197.62</v>
      </c>
      <c r="E101" s="3" t="n">
        <v>-1998910.57</v>
      </c>
      <c r="F101" s="3" t="n">
        <v>-197803.47</v>
      </c>
      <c r="G101" s="3" t="n">
        <v>-5203642.9</v>
      </c>
      <c r="H101" s="3" t="n">
        <v>-2573839.29</v>
      </c>
      <c r="I101" s="3" t="n">
        <v>450029.27</v>
      </c>
      <c r="J101" s="3" t="n">
        <v>-569815.37</v>
      </c>
      <c r="K101" s="3" t="n">
        <v>812789.73</v>
      </c>
    </row>
    <row r="102" customFormat="false" ht="15" hidden="false" customHeight="false" outlineLevel="0" collapsed="false">
      <c r="A102" s="2" t="s">
        <v>111</v>
      </c>
      <c r="B102" s="3" t="n">
        <v>72772351.95</v>
      </c>
      <c r="C102" s="3" t="n">
        <v>-34338187.29</v>
      </c>
      <c r="D102" s="3" t="n">
        <v>-2660942.11</v>
      </c>
      <c r="E102" s="3" t="n">
        <v>-2364270.8</v>
      </c>
      <c r="F102" s="3" t="n">
        <v>1676950.75</v>
      </c>
      <c r="G102" s="3" t="n">
        <v>-7190660.36</v>
      </c>
      <c r="H102" s="3" t="n">
        <v>728673.74</v>
      </c>
      <c r="I102" s="3" t="n">
        <v>-666183.22</v>
      </c>
      <c r="J102" s="3" t="n">
        <v>1371474.57</v>
      </c>
      <c r="K102" s="3" t="n">
        <v>1343876.55</v>
      </c>
    </row>
    <row r="103" customFormat="false" ht="15" hidden="false" customHeight="false" outlineLevel="0" collapsed="false">
      <c r="A103" s="2" t="s">
        <v>112</v>
      </c>
      <c r="B103" s="3" t="n">
        <v>-5490842.38</v>
      </c>
      <c r="C103" s="3" t="n">
        <v>-10406796.99</v>
      </c>
      <c r="D103" s="3" t="n">
        <v>4246671.94</v>
      </c>
      <c r="E103" s="3" t="n">
        <v>-1210777.94</v>
      </c>
      <c r="F103" s="3" t="n">
        <v>2881668.9</v>
      </c>
      <c r="G103" s="3" t="n">
        <v>-2107793.18</v>
      </c>
      <c r="H103" s="3" t="n">
        <v>469975.34</v>
      </c>
      <c r="I103" s="3" t="n">
        <v>2527351.38</v>
      </c>
      <c r="J103" s="3" t="n">
        <v>144634.34</v>
      </c>
      <c r="K103" s="3" t="n">
        <v>-1237352.03</v>
      </c>
    </row>
    <row r="104" customFormat="false" ht="15" hidden="false" customHeight="false" outlineLevel="0" collapsed="false">
      <c r="A104" s="2" t="s">
        <v>113</v>
      </c>
      <c r="B104" s="3" t="n">
        <v>-25098501.66</v>
      </c>
      <c r="C104" s="3" t="n">
        <v>-15832689.21</v>
      </c>
      <c r="D104" s="3" t="n">
        <v>98519.21</v>
      </c>
      <c r="E104" s="3" t="n">
        <v>5928693.39</v>
      </c>
      <c r="F104" s="3" t="n">
        <v>143538.08</v>
      </c>
      <c r="G104" s="3" t="n">
        <v>-457557.15</v>
      </c>
      <c r="H104" s="3" t="n">
        <v>-2996970.75</v>
      </c>
      <c r="I104" s="3" t="n">
        <v>786922.73</v>
      </c>
      <c r="J104" s="3" t="n">
        <v>-145211.18</v>
      </c>
      <c r="K104" s="3" t="n">
        <v>50118.81</v>
      </c>
    </row>
    <row r="105" customFormat="false" ht="15" hidden="false" customHeight="false" outlineLevel="0" collapsed="false">
      <c r="A105" s="2" t="s">
        <v>114</v>
      </c>
      <c r="B105" s="3" t="n">
        <v>-27788377.25</v>
      </c>
      <c r="C105" s="3" t="n">
        <v>-21062224.2</v>
      </c>
      <c r="D105" s="3" t="n">
        <v>4331065</v>
      </c>
      <c r="E105" s="3" t="n">
        <v>-4922646.94</v>
      </c>
      <c r="F105" s="3" t="n">
        <v>816920.74</v>
      </c>
      <c r="G105" s="3" t="n">
        <v>2289946.38</v>
      </c>
      <c r="H105" s="3" t="n">
        <v>211380</v>
      </c>
      <c r="I105" s="3" t="n">
        <v>1966887.67</v>
      </c>
      <c r="J105" s="3" t="n">
        <v>627483.67</v>
      </c>
      <c r="K105" s="3" t="n">
        <v>10588.99</v>
      </c>
    </row>
    <row r="106" customFormat="false" ht="15" hidden="false" customHeight="false" outlineLevel="0" collapsed="false">
      <c r="A106" s="2" t="s">
        <v>115</v>
      </c>
      <c r="B106" s="3" t="n">
        <v>-34191669.62</v>
      </c>
      <c r="C106" s="3" t="n">
        <v>-12700911.27</v>
      </c>
      <c r="D106" s="3" t="n">
        <v>10174006.78</v>
      </c>
      <c r="E106" s="3" t="n">
        <v>4906556.99</v>
      </c>
      <c r="F106" s="3" t="n">
        <v>-13526162.67</v>
      </c>
      <c r="G106" s="3" t="n">
        <v>29311461.27</v>
      </c>
      <c r="H106" s="3" t="n">
        <v>6463125</v>
      </c>
      <c r="I106" s="3" t="n">
        <v>456505.67</v>
      </c>
      <c r="J106" s="3" t="n">
        <v>221431.11</v>
      </c>
      <c r="K106" s="3" t="n">
        <v>290186.82</v>
      </c>
    </row>
    <row r="107" customFormat="false" ht="15" hidden="false" customHeight="false" outlineLevel="0" collapsed="false">
      <c r="A107" s="2" t="s">
        <v>116</v>
      </c>
      <c r="B107" s="3" t="n">
        <v>-207736301.07</v>
      </c>
      <c r="C107" s="3" t="n">
        <v>-33029634.09</v>
      </c>
      <c r="D107" s="3" t="n">
        <v>10870888.89</v>
      </c>
      <c r="E107" s="3" t="n">
        <v>-17256800.21</v>
      </c>
      <c r="F107" s="3" t="n">
        <v>-540100.54</v>
      </c>
      <c r="G107" s="3" t="n">
        <v>11422491.61</v>
      </c>
      <c r="H107" s="3" t="n">
        <v>-7376985.58</v>
      </c>
      <c r="I107" s="3" t="n">
        <v>-1202475.58</v>
      </c>
      <c r="J107" s="3" t="n">
        <v>-191060.97</v>
      </c>
      <c r="K107" s="3" t="n">
        <v>1793567.15</v>
      </c>
    </row>
    <row r="108" customFormat="false" ht="15" hidden="false" customHeight="false" outlineLevel="0" collapsed="false">
      <c r="A108" s="2" t="s">
        <v>117</v>
      </c>
      <c r="B108" s="3" t="n">
        <v>8930376.15</v>
      </c>
      <c r="C108" s="3" t="n">
        <v>-25388714.39</v>
      </c>
      <c r="D108" s="3" t="n">
        <v>-17052884.37</v>
      </c>
      <c r="E108" s="3" t="n">
        <v>3670173.05</v>
      </c>
      <c r="F108" s="3" t="n">
        <v>1088932.26</v>
      </c>
      <c r="G108" s="3" t="n">
        <v>-3578691.43</v>
      </c>
      <c r="H108" s="3" t="n">
        <v>-4278837.16</v>
      </c>
      <c r="I108" s="3" t="n">
        <v>-4979139.06</v>
      </c>
      <c r="J108" s="3" t="n">
        <v>530778.58</v>
      </c>
      <c r="K108" s="3" t="n">
        <v>-432934.17</v>
      </c>
    </row>
    <row r="109" customFormat="false" ht="15" hidden="false" customHeight="false" outlineLevel="0" collapsed="false">
      <c r="A109" s="2" t="s">
        <v>118</v>
      </c>
      <c r="B109" s="3" t="n">
        <v>-18177827.39</v>
      </c>
      <c r="C109" s="3" t="n">
        <v>-42239209.21</v>
      </c>
      <c r="D109" s="3" t="n">
        <v>-5811076.23</v>
      </c>
      <c r="E109" s="3" t="n">
        <v>539278.78</v>
      </c>
      <c r="F109" s="3" t="n">
        <v>-3864788.17</v>
      </c>
      <c r="G109" s="3" t="n">
        <v>-3101822.28</v>
      </c>
      <c r="H109" s="3" t="n">
        <v>-3770729.81</v>
      </c>
      <c r="I109" s="3" t="n">
        <v>2207141.45</v>
      </c>
      <c r="J109" s="3" t="n">
        <v>62837.06</v>
      </c>
      <c r="K109" s="3" t="n">
        <v>710141.24</v>
      </c>
    </row>
    <row r="110" customFormat="false" ht="15" hidden="false" customHeight="false" outlineLevel="0" collapsed="false">
      <c r="A110" s="2" t="s">
        <v>119</v>
      </c>
      <c r="B110" s="3" t="n">
        <v>64597487.45</v>
      </c>
      <c r="C110" s="3" t="n">
        <v>-42334943.12</v>
      </c>
      <c r="D110" s="3" t="n">
        <v>4364390.33</v>
      </c>
      <c r="E110" s="3" t="n">
        <v>-792725.51</v>
      </c>
      <c r="F110" s="3" t="n">
        <v>1283699.59</v>
      </c>
      <c r="G110" s="3" t="n">
        <v>2613773.57</v>
      </c>
      <c r="H110" s="3" t="n">
        <v>981482.08</v>
      </c>
      <c r="I110" s="3" t="n">
        <v>-2948604.43</v>
      </c>
      <c r="J110" s="3" t="n">
        <v>-180884.19</v>
      </c>
      <c r="K110" s="3" t="n">
        <v>-979066.76</v>
      </c>
    </row>
    <row r="111" customFormat="false" ht="15" hidden="false" customHeight="false" outlineLevel="0" collapsed="false">
      <c r="A111" s="2" t="s">
        <v>120</v>
      </c>
      <c r="B111" s="3" t="n">
        <v>-45281982.66</v>
      </c>
      <c r="C111" s="3" t="n">
        <v>-17365837.69</v>
      </c>
      <c r="D111" s="3" t="n">
        <v>-10461650.95</v>
      </c>
      <c r="E111" s="3" t="n">
        <v>2398175.37</v>
      </c>
      <c r="F111" s="3" t="n">
        <v>-543129.59</v>
      </c>
      <c r="G111" s="3" t="n">
        <v>2147432.15</v>
      </c>
      <c r="H111" s="3" t="n">
        <v>-14409236.12</v>
      </c>
      <c r="I111" s="3" t="n">
        <v>722355.11</v>
      </c>
      <c r="J111" s="3" t="n">
        <v>-114763.56</v>
      </c>
      <c r="K111" s="3" t="n">
        <v>-309798.9</v>
      </c>
    </row>
    <row r="112" customFormat="false" ht="15" hidden="false" customHeight="false" outlineLevel="0" collapsed="false">
      <c r="A112" s="2" t="s">
        <v>121</v>
      </c>
      <c r="B112" s="3" t="n">
        <v>-73123165.73</v>
      </c>
      <c r="C112" s="3" t="n">
        <v>-35423689.51</v>
      </c>
      <c r="D112" s="3" t="n">
        <v>33111343.79</v>
      </c>
      <c r="E112" s="3" t="n">
        <v>8405420.05</v>
      </c>
      <c r="F112" s="3" t="n">
        <v>3017664.62</v>
      </c>
      <c r="G112" s="3" t="n">
        <v>392246.32</v>
      </c>
      <c r="H112" s="3" t="n">
        <v>1093097.24</v>
      </c>
      <c r="I112" s="3" t="n">
        <v>-1980236.63</v>
      </c>
      <c r="J112" s="3" t="n">
        <v>399989.53</v>
      </c>
      <c r="K112" s="3" t="n">
        <v>545000.73</v>
      </c>
    </row>
    <row r="113" customFormat="false" ht="15" hidden="false" customHeight="false" outlineLevel="0" collapsed="false">
      <c r="A113" s="2" t="s">
        <v>122</v>
      </c>
      <c r="B113" s="3" t="n">
        <v>-143338758.77</v>
      </c>
      <c r="C113" s="3" t="n">
        <v>44844742.27</v>
      </c>
      <c r="D113" s="3" t="n">
        <v>6772589.93</v>
      </c>
      <c r="E113" s="3" t="n">
        <v>3516812.5</v>
      </c>
      <c r="F113" s="3" t="n">
        <v>-53622356.88</v>
      </c>
      <c r="G113" s="3" t="n">
        <v>3275583.02</v>
      </c>
      <c r="H113" s="3" t="n">
        <v>602761.34</v>
      </c>
      <c r="I113" s="3" t="n">
        <v>-749879.87</v>
      </c>
      <c r="J113" s="3" t="n">
        <v>61393.93</v>
      </c>
      <c r="K113" s="3" t="n">
        <v>358962.73</v>
      </c>
    </row>
    <row r="114" customFormat="false" ht="15" hidden="false" customHeight="false" outlineLevel="0" collapsed="false">
      <c r="A114" s="2" t="s">
        <v>123</v>
      </c>
      <c r="B114" s="3" t="n">
        <v>-108432429.43</v>
      </c>
      <c r="C114" s="3" t="n">
        <v>-11162589.99</v>
      </c>
      <c r="D114" s="3" t="n">
        <v>-2436488.18</v>
      </c>
      <c r="E114" s="3" t="n">
        <v>-1159430.4</v>
      </c>
      <c r="F114" s="3" t="n">
        <v>5423723.3</v>
      </c>
      <c r="G114" s="3" t="n">
        <v>78736.68</v>
      </c>
      <c r="H114" s="3" t="n">
        <v>-6793623.25</v>
      </c>
      <c r="I114" s="3" t="n">
        <v>-2147957.53</v>
      </c>
      <c r="J114" s="3" t="n">
        <v>-979343.35</v>
      </c>
      <c r="K114" s="3" t="n">
        <v>77645.89</v>
      </c>
    </row>
    <row r="115" customFormat="false" ht="15" hidden="false" customHeight="false" outlineLevel="0" collapsed="false">
      <c r="A115" s="2" t="s">
        <v>124</v>
      </c>
      <c r="B115" s="3" t="n">
        <v>-155089410.42</v>
      </c>
      <c r="C115" s="3" t="n">
        <v>-44171343.16</v>
      </c>
      <c r="D115" s="3" t="n">
        <v>7881041.55</v>
      </c>
      <c r="E115" s="3" t="n">
        <v>5097154.46</v>
      </c>
      <c r="F115" s="3" t="n">
        <v>185532.4</v>
      </c>
      <c r="G115" s="3" t="n">
        <v>9891784.09</v>
      </c>
      <c r="H115" s="3" t="n">
        <v>-4704610.43</v>
      </c>
      <c r="I115" s="3" t="n">
        <v>1887948.49</v>
      </c>
      <c r="J115" s="3" t="n">
        <v>-1766646.62</v>
      </c>
      <c r="K115" s="3" t="n">
        <v>1450278.94</v>
      </c>
    </row>
    <row r="116" customFormat="false" ht="15" hidden="false" customHeight="false" outlineLevel="0" collapsed="false">
      <c r="A116" s="2" t="s">
        <v>125</v>
      </c>
      <c r="B116" s="3" t="n">
        <v>27608250.44</v>
      </c>
      <c r="C116" s="3" t="n">
        <v>7693949.4</v>
      </c>
      <c r="D116" s="3" t="n">
        <v>12119406.89</v>
      </c>
      <c r="E116" s="3" t="n">
        <v>-7751417.48</v>
      </c>
      <c r="F116" s="3" t="n">
        <v>-267029.02</v>
      </c>
      <c r="G116" s="3" t="n">
        <v>9181519.06</v>
      </c>
      <c r="H116" s="3" t="n">
        <v>4070961.6</v>
      </c>
      <c r="I116" s="3" t="n">
        <v>-1198249.34</v>
      </c>
      <c r="J116" s="3" t="n">
        <v>-21602.14</v>
      </c>
      <c r="K116" s="3" t="n">
        <v>-369081.56</v>
      </c>
    </row>
    <row r="117" customFormat="false" ht="15" hidden="false" customHeight="false" outlineLevel="0" collapsed="false">
      <c r="A117" s="2" t="s">
        <v>126</v>
      </c>
      <c r="B117" s="3" t="n">
        <v>-26137821.85</v>
      </c>
      <c r="C117" s="3" t="n">
        <v>-52709706.34</v>
      </c>
      <c r="D117" s="3" t="n">
        <v>5902718.4</v>
      </c>
      <c r="E117" s="3" t="n">
        <v>6887711.8</v>
      </c>
      <c r="F117" s="3" t="n">
        <v>3684067.05</v>
      </c>
      <c r="G117" s="3" t="n">
        <v>3737292.28</v>
      </c>
      <c r="H117" s="3" t="n">
        <v>-528321.25</v>
      </c>
      <c r="I117" s="3" t="n">
        <v>839620.44</v>
      </c>
      <c r="J117" s="3" t="n">
        <v>-547730.28</v>
      </c>
      <c r="K117" s="3" t="n">
        <v>1151066.93</v>
      </c>
    </row>
    <row r="118" customFormat="false" ht="15" hidden="false" customHeight="false" outlineLevel="0" collapsed="false">
      <c r="A118" s="2" t="s">
        <v>127</v>
      </c>
      <c r="B118" s="3" t="n">
        <v>-29409111.81</v>
      </c>
      <c r="C118" s="3" t="n">
        <v>-3160769.3</v>
      </c>
      <c r="D118" s="3" t="n">
        <v>3724219.33</v>
      </c>
      <c r="E118" s="3" t="n">
        <v>-3465602.84</v>
      </c>
      <c r="F118" s="3" t="n">
        <v>5076618.27</v>
      </c>
      <c r="G118" s="3" t="n">
        <v>-1291680.6</v>
      </c>
      <c r="H118" s="3" t="n">
        <v>2363097.94</v>
      </c>
      <c r="I118" s="3" t="n">
        <v>-3716426.4</v>
      </c>
      <c r="J118" s="3" t="n">
        <v>-442670.9</v>
      </c>
      <c r="K118" s="3" t="n">
        <v>1834630.54</v>
      </c>
    </row>
    <row r="119" customFormat="false" ht="15" hidden="false" customHeight="false" outlineLevel="0" collapsed="false">
      <c r="A119" s="2" t="s">
        <v>128</v>
      </c>
      <c r="B119" s="3" t="n">
        <v>2073348.69</v>
      </c>
      <c r="C119" s="3" t="n">
        <v>-14982679.82</v>
      </c>
      <c r="D119" s="3" t="n">
        <v>3415916.53</v>
      </c>
      <c r="E119" s="3" t="n">
        <v>197873.48</v>
      </c>
      <c r="F119" s="3" t="n">
        <v>-5500719.06</v>
      </c>
      <c r="G119" s="3" t="n">
        <v>4698744.23</v>
      </c>
      <c r="H119" s="3" t="n">
        <v>1188844.79</v>
      </c>
      <c r="I119" s="3" t="n">
        <v>-361690.28</v>
      </c>
      <c r="J119" s="3" t="n">
        <v>-552154.75</v>
      </c>
      <c r="K119" s="3" t="n">
        <v>1587944.21</v>
      </c>
    </row>
    <row r="120" customFormat="false" ht="15" hidden="false" customHeight="false" outlineLevel="0" collapsed="false">
      <c r="A120" s="2" t="s">
        <v>129</v>
      </c>
      <c r="B120" s="3" t="n">
        <v>22794108.03</v>
      </c>
      <c r="C120" s="3" t="n">
        <v>-21196304.98</v>
      </c>
      <c r="D120" s="3" t="n">
        <v>-250714.54</v>
      </c>
      <c r="E120" s="3" t="n">
        <v>39060739.05</v>
      </c>
      <c r="F120" s="3" t="n">
        <v>311999.41</v>
      </c>
      <c r="G120" s="3" t="n">
        <v>-4830363.31</v>
      </c>
      <c r="H120" s="3" t="n">
        <v>-5290850.51</v>
      </c>
      <c r="I120" s="3" t="n">
        <v>541746.76</v>
      </c>
      <c r="J120" s="3" t="n">
        <v>-870007.63</v>
      </c>
      <c r="K120" s="3" t="n">
        <v>1595148.21</v>
      </c>
    </row>
    <row r="121" customFormat="false" ht="15" hidden="false" customHeight="false" outlineLevel="0" collapsed="false">
      <c r="A121" s="2" t="s">
        <v>130</v>
      </c>
      <c r="B121" s="3" t="n">
        <v>-87934607.79</v>
      </c>
      <c r="C121" s="3" t="n">
        <v>-29381894.95</v>
      </c>
      <c r="D121" s="3" t="n">
        <v>3891868.19</v>
      </c>
      <c r="E121" s="3" t="n">
        <v>-689632.24</v>
      </c>
      <c r="F121" s="3" t="n">
        <v>447818.46</v>
      </c>
      <c r="G121" s="3" t="n">
        <v>3780437.42</v>
      </c>
      <c r="H121" s="3" t="n">
        <v>2051100.75</v>
      </c>
      <c r="I121" s="3" t="n">
        <v>-13441.25</v>
      </c>
      <c r="J121" s="3" t="n">
        <v>122548.1</v>
      </c>
      <c r="K121" s="3" t="n">
        <v>500806.87</v>
      </c>
    </row>
    <row r="122" customFormat="false" ht="15" hidden="false" customHeight="false" outlineLevel="0" collapsed="false">
      <c r="A122" s="2" t="s">
        <v>131</v>
      </c>
      <c r="B122" s="3" t="n">
        <v>41212799.15</v>
      </c>
      <c r="C122" s="3" t="n">
        <v>-15493909.32</v>
      </c>
      <c r="D122" s="3" t="n">
        <v>59181153.84</v>
      </c>
      <c r="E122" s="3" t="n">
        <v>1003204.27</v>
      </c>
      <c r="F122" s="3" t="n">
        <v>561988.48</v>
      </c>
      <c r="G122" s="3" t="n">
        <v>-1710678.04</v>
      </c>
      <c r="H122" s="3" t="n">
        <v>189479.19</v>
      </c>
      <c r="I122" s="3" t="n">
        <v>-4577949.7</v>
      </c>
      <c r="J122" s="3" t="n">
        <v>26242.85</v>
      </c>
      <c r="K122" s="3" t="n">
        <v>-13779.86</v>
      </c>
    </row>
    <row r="123" customFormat="false" ht="15" hidden="false" customHeight="false" outlineLevel="0" collapsed="false">
      <c r="A123" s="2" t="s">
        <v>132</v>
      </c>
      <c r="B123" s="3" t="n">
        <v>22162818.96</v>
      </c>
      <c r="C123" s="3" t="n">
        <v>-5829706.31</v>
      </c>
      <c r="D123" s="3" t="n">
        <v>10582648.83</v>
      </c>
      <c r="E123" s="3" t="n">
        <v>-7064851.12</v>
      </c>
      <c r="F123" s="3" t="n">
        <v>862707.51</v>
      </c>
      <c r="G123" s="3" t="n">
        <v>460872.16</v>
      </c>
      <c r="H123" s="3" t="n">
        <v>327002.24</v>
      </c>
      <c r="I123" s="3" t="n">
        <v>-3340180.34</v>
      </c>
      <c r="J123" s="3" t="n">
        <v>-720800.55</v>
      </c>
      <c r="K123" s="3" t="n">
        <v>126040.49</v>
      </c>
    </row>
    <row r="124" customFormat="false" ht="15" hidden="false" customHeight="false" outlineLevel="0" collapsed="false">
      <c r="A124" s="2" t="s">
        <v>133</v>
      </c>
      <c r="B124" s="3" t="n">
        <v>-51433969.47</v>
      </c>
      <c r="C124" s="3" t="n">
        <v>-29323319.73</v>
      </c>
      <c r="D124" s="3" t="n">
        <v>1742465.68</v>
      </c>
      <c r="E124" s="3" t="n">
        <v>14575864.55</v>
      </c>
      <c r="F124" s="3" t="n">
        <v>1348863.19</v>
      </c>
      <c r="G124" s="3" t="n">
        <v>-480149.99</v>
      </c>
      <c r="H124" s="3" t="n">
        <v>3689552.94</v>
      </c>
      <c r="I124" s="3" t="n">
        <v>-3774292.3</v>
      </c>
      <c r="J124" s="3" t="n">
        <v>-343494.03</v>
      </c>
      <c r="K124" s="3" t="n">
        <v>1657029.51</v>
      </c>
    </row>
    <row r="125" customFormat="false" ht="15" hidden="false" customHeight="false" outlineLevel="0" collapsed="false">
      <c r="A125" s="2" t="s">
        <v>134</v>
      </c>
      <c r="B125" s="3" t="n">
        <v>-20758376.1</v>
      </c>
      <c r="C125" s="3" t="n">
        <v>-32655974.14</v>
      </c>
      <c r="D125" s="3" t="n">
        <v>-40223011.56</v>
      </c>
      <c r="E125" s="3" t="n">
        <v>-1507817.12</v>
      </c>
      <c r="F125" s="3" t="n">
        <v>4007775.36</v>
      </c>
      <c r="G125" s="3" t="n">
        <v>480398.65</v>
      </c>
      <c r="H125" s="3" t="n">
        <v>-556798.87</v>
      </c>
      <c r="I125" s="3" t="n">
        <v>-341209.58</v>
      </c>
      <c r="J125" s="3" t="n">
        <v>53758.51</v>
      </c>
      <c r="K125" s="3" t="n">
        <v>101344.06</v>
      </c>
    </row>
    <row r="126" customFormat="false" ht="15" hidden="false" customHeight="false" outlineLevel="0" collapsed="false">
      <c r="A126" s="2" t="s">
        <v>135</v>
      </c>
      <c r="B126" s="3" t="n">
        <v>-116569258.78</v>
      </c>
      <c r="C126" s="3" t="n">
        <v>-43636123.04</v>
      </c>
      <c r="D126" s="3" t="n">
        <v>-10047478.3</v>
      </c>
      <c r="E126" s="3" t="n">
        <v>1826888.26</v>
      </c>
      <c r="F126" s="3" t="n">
        <v>4944466.12</v>
      </c>
      <c r="G126" s="3" t="n">
        <v>-12207969.01</v>
      </c>
      <c r="H126" s="3" t="n">
        <v>-6900864.17</v>
      </c>
      <c r="I126" s="3" t="n">
        <v>-6782195.32</v>
      </c>
      <c r="J126" s="3" t="n">
        <v>-1014488.46</v>
      </c>
      <c r="K126" s="3" t="n">
        <v>1030766.99</v>
      </c>
    </row>
    <row r="127" customFormat="false" ht="15" hidden="false" customHeight="false" outlineLevel="0" collapsed="false">
      <c r="A127" s="2" t="s">
        <v>136</v>
      </c>
      <c r="B127" s="3" t="n">
        <v>-244172633.99</v>
      </c>
      <c r="C127" s="3" t="n">
        <v>-62037505.97</v>
      </c>
      <c r="D127" s="3" t="n">
        <v>-373329.94</v>
      </c>
      <c r="E127" s="3" t="n">
        <v>5030662.72</v>
      </c>
      <c r="F127" s="3" t="n">
        <v>-1362707.22</v>
      </c>
      <c r="G127" s="3" t="n">
        <v>-37934840.65</v>
      </c>
      <c r="H127" s="3" t="n">
        <v>-5233347.8</v>
      </c>
      <c r="I127" s="3" t="n">
        <v>1466946.62</v>
      </c>
      <c r="J127" s="3" t="n">
        <v>1411587.72</v>
      </c>
      <c r="K127" s="3" t="n">
        <v>-3438618.73</v>
      </c>
    </row>
    <row r="128" customFormat="false" ht="15" hidden="false" customHeight="false" outlineLevel="0" collapsed="false">
      <c r="A128" s="2" t="s">
        <v>137</v>
      </c>
      <c r="B128" s="3" t="n">
        <v>81960582.97</v>
      </c>
      <c r="C128" s="3" t="n">
        <v>-50636062.82</v>
      </c>
      <c r="D128" s="3" t="n">
        <v>25739300</v>
      </c>
      <c r="E128" s="3" t="n">
        <v>-12214.03</v>
      </c>
      <c r="F128" s="3" t="n">
        <v>-2030599.44</v>
      </c>
      <c r="G128" s="3" t="n">
        <v>-873332.08</v>
      </c>
      <c r="H128" s="3" t="n">
        <v>-761736.63</v>
      </c>
      <c r="I128" s="3" t="n">
        <v>-1699874.34</v>
      </c>
      <c r="J128" s="3" t="n">
        <v>-40233.19</v>
      </c>
      <c r="K128" s="3" t="n">
        <v>-4304800.71</v>
      </c>
    </row>
    <row r="129" customFormat="false" ht="15" hidden="false" customHeight="false" outlineLevel="0" collapsed="false">
      <c r="A129" s="2" t="s">
        <v>138</v>
      </c>
      <c r="B129" s="3" t="n">
        <v>-83291242.81</v>
      </c>
      <c r="C129" s="3" t="n">
        <v>106478996.79</v>
      </c>
      <c r="D129" s="3" t="n">
        <v>65473718.63</v>
      </c>
      <c r="E129" s="3" t="n">
        <v>47077995.87</v>
      </c>
      <c r="F129" s="3" t="n">
        <v>-17044055.02</v>
      </c>
      <c r="G129" s="3" t="n">
        <v>27377497.92</v>
      </c>
      <c r="H129" s="3" t="n">
        <v>-11177529</v>
      </c>
      <c r="I129" s="3" t="n">
        <v>-4630097.38</v>
      </c>
      <c r="J129" s="3" t="n">
        <v>-196901.46</v>
      </c>
      <c r="K129" s="3" t="n">
        <v>-2606288.94</v>
      </c>
    </row>
    <row r="130" customFormat="false" ht="15" hidden="false" customHeight="false" outlineLevel="0" collapsed="false">
      <c r="A130" s="2" t="s">
        <v>139</v>
      </c>
      <c r="B130" s="3" t="n">
        <v>-124874485.22</v>
      </c>
      <c r="C130" s="3" t="n">
        <v>94423130.31</v>
      </c>
      <c r="D130" s="3" t="n">
        <v>-17365628.83</v>
      </c>
      <c r="E130" s="3" t="n">
        <v>28768038.51</v>
      </c>
      <c r="F130" s="3" t="n">
        <v>-1824622.4</v>
      </c>
      <c r="G130" s="3" t="n">
        <v>-3793040.24</v>
      </c>
      <c r="H130" s="3" t="n">
        <v>-20909405.9</v>
      </c>
      <c r="I130" s="3" t="n">
        <v>-304031.5</v>
      </c>
      <c r="J130" s="3" t="n">
        <v>-418316.58</v>
      </c>
      <c r="K130" s="3" t="n">
        <v>544734.57</v>
      </c>
    </row>
    <row r="131" customFormat="false" ht="15" hidden="false" customHeight="false" outlineLevel="0" collapsed="false">
      <c r="A131" s="2" t="s">
        <v>140</v>
      </c>
      <c r="B131" s="3" t="n">
        <v>-155006380.54</v>
      </c>
      <c r="C131" s="3" t="n">
        <v>57191964.33</v>
      </c>
      <c r="D131" s="3" t="n">
        <v>6593195.73</v>
      </c>
      <c r="E131" s="3" t="n">
        <v>3168882.8</v>
      </c>
      <c r="F131" s="3" t="n">
        <v>888576.76</v>
      </c>
      <c r="G131" s="3" t="n">
        <v>346231.74</v>
      </c>
      <c r="H131" s="3" t="n">
        <v>-11322417.14</v>
      </c>
      <c r="I131" s="3" t="n">
        <v>84401.31</v>
      </c>
      <c r="J131" s="3" t="n">
        <v>-511437.47</v>
      </c>
      <c r="K131" s="3" t="n">
        <v>66903.57</v>
      </c>
    </row>
    <row r="132" customFormat="false" ht="15" hidden="false" customHeight="false" outlineLevel="0" collapsed="false">
      <c r="A132" s="2" t="s">
        <v>141</v>
      </c>
      <c r="B132" s="3" t="n">
        <v>-28750879.44</v>
      </c>
      <c r="C132" s="3" t="n">
        <v>27048677.04</v>
      </c>
      <c r="D132" s="3" t="n">
        <v>5206638.14</v>
      </c>
      <c r="E132" s="3" t="n">
        <v>6157015.58</v>
      </c>
      <c r="F132" s="3" t="n">
        <v>25872742.38</v>
      </c>
      <c r="G132" s="3" t="n">
        <v>676072.37</v>
      </c>
      <c r="H132" s="3" t="n">
        <v>2127418.93</v>
      </c>
      <c r="I132" s="3" t="n">
        <v>1670946.47</v>
      </c>
      <c r="J132" s="3" t="n">
        <v>1264377.26</v>
      </c>
      <c r="K132" s="3" t="n">
        <v>420615.32</v>
      </c>
    </row>
    <row r="133" customFormat="false" ht="15" hidden="false" customHeight="false" outlineLevel="0" collapsed="false">
      <c r="A133" s="2" t="s">
        <v>142</v>
      </c>
      <c r="B133" s="3" t="n">
        <v>267854.15</v>
      </c>
      <c r="C133" s="3" t="n">
        <v>81826130.34</v>
      </c>
      <c r="D133" s="3" t="n">
        <v>-3802295.87</v>
      </c>
      <c r="E133" s="3" t="n">
        <v>8406512.05</v>
      </c>
      <c r="F133" s="3" t="n">
        <v>-1219928.37</v>
      </c>
      <c r="G133" s="3" t="n">
        <v>5344957.38</v>
      </c>
      <c r="H133" s="3" t="n">
        <v>-8490533.1</v>
      </c>
      <c r="I133" s="3" t="n">
        <v>547444.98</v>
      </c>
      <c r="J133" s="3" t="n">
        <v>-314204.02</v>
      </c>
      <c r="K133" s="3" t="n">
        <v>-627181.21</v>
      </c>
    </row>
    <row r="134" customFormat="false" ht="15" hidden="false" customHeight="false" outlineLevel="0" collapsed="false">
      <c r="A134" s="2" t="s">
        <v>143</v>
      </c>
      <c r="B134" s="3" t="n">
        <v>-74890993.04</v>
      </c>
      <c r="C134" s="3" t="n">
        <v>-2417072.25</v>
      </c>
      <c r="D134" s="3" t="n">
        <v>-482723.35</v>
      </c>
      <c r="E134" s="3" t="n">
        <v>-2511111.23</v>
      </c>
      <c r="F134" s="3" t="n">
        <v>2843845.79</v>
      </c>
      <c r="G134" s="3" t="n">
        <v>1382791.38</v>
      </c>
      <c r="H134" s="3" t="n">
        <v>-16569033.79</v>
      </c>
      <c r="I134" s="3" t="n">
        <v>485760.94</v>
      </c>
      <c r="J134" s="3" t="n">
        <v>544474.96</v>
      </c>
      <c r="K134" s="3" t="n">
        <v>293807.47</v>
      </c>
    </row>
    <row r="135" customFormat="false" ht="15" hidden="false" customHeight="false" outlineLevel="0" collapsed="false">
      <c r="A135" s="2" t="s">
        <v>144</v>
      </c>
      <c r="B135" s="3" t="n">
        <v>61633101.54</v>
      </c>
      <c r="C135" s="3" t="n">
        <v>-42037214.94</v>
      </c>
      <c r="D135" s="3" t="n">
        <v>527649.59</v>
      </c>
      <c r="E135" s="3" t="n">
        <v>190305.92</v>
      </c>
      <c r="F135" s="3" t="n">
        <v>658802.73</v>
      </c>
      <c r="G135" s="3" t="n">
        <v>3387762.69</v>
      </c>
      <c r="H135" s="3" t="n">
        <v>-17453585.73</v>
      </c>
      <c r="I135" s="3" t="n">
        <v>-156927.69</v>
      </c>
      <c r="J135" s="3" t="n">
        <v>1069185.24</v>
      </c>
      <c r="K135" s="3" t="n">
        <v>761549.61</v>
      </c>
    </row>
    <row r="136" customFormat="false" ht="15" hidden="false" customHeight="false" outlineLevel="0" collapsed="false">
      <c r="A136" s="2" t="s">
        <v>145</v>
      </c>
      <c r="B136" s="3" t="n">
        <v>-38613890.3</v>
      </c>
      <c r="C136" s="3" t="n">
        <v>-61950974.19</v>
      </c>
      <c r="D136" s="3" t="n">
        <v>18449781.89</v>
      </c>
      <c r="E136" s="3" t="n">
        <v>3303026.12</v>
      </c>
      <c r="F136" s="3" t="n">
        <v>-8532560.59</v>
      </c>
      <c r="G136" s="3" t="n">
        <v>14355184.2</v>
      </c>
      <c r="H136" s="3" t="n">
        <v>-6262068.68</v>
      </c>
      <c r="I136" s="3" t="n">
        <v>913359.8</v>
      </c>
      <c r="J136" s="3" t="n">
        <v>369194.92</v>
      </c>
      <c r="K136" s="3" t="n">
        <v>1027342.58</v>
      </c>
    </row>
    <row r="137" customFormat="false" ht="15" hidden="false" customHeight="false" outlineLevel="0" collapsed="false">
      <c r="A137" s="2" t="s">
        <v>146</v>
      </c>
      <c r="B137" s="3" t="n">
        <v>47544257.15</v>
      </c>
      <c r="C137" s="3" t="n">
        <v>-14469473.41</v>
      </c>
      <c r="D137" s="3" t="n">
        <v>2916760.99</v>
      </c>
      <c r="E137" s="3" t="n">
        <v>-1978065.92</v>
      </c>
      <c r="F137" s="3" t="n">
        <v>1668044.43</v>
      </c>
      <c r="G137" s="3" t="n">
        <v>632624.31</v>
      </c>
      <c r="H137" s="3" t="n">
        <v>-2530978.83</v>
      </c>
      <c r="I137" s="3" t="n">
        <v>2078967.18</v>
      </c>
      <c r="J137" s="3" t="n">
        <v>654505.43</v>
      </c>
      <c r="K137" s="3" t="n">
        <v>-875648.53</v>
      </c>
    </row>
    <row r="138" customFormat="false" ht="15" hidden="false" customHeight="false" outlineLevel="0" collapsed="false">
      <c r="A138" s="2" t="s">
        <v>147</v>
      </c>
      <c r="B138" s="3" t="n">
        <v>-7784782.79</v>
      </c>
      <c r="C138" s="3" t="n">
        <v>-27372814.14</v>
      </c>
      <c r="D138" s="3" t="n">
        <v>3134270.3</v>
      </c>
      <c r="E138" s="3" t="n">
        <v>7792153.84</v>
      </c>
      <c r="F138" s="3" t="n">
        <v>-254125.07</v>
      </c>
      <c r="G138" s="3" t="n">
        <v>5839190.79</v>
      </c>
      <c r="H138" s="3" t="n">
        <v>1688317.45</v>
      </c>
      <c r="I138" s="3" t="n">
        <v>1667935.99</v>
      </c>
      <c r="J138" s="3" t="n">
        <v>118059.77</v>
      </c>
      <c r="K138" s="3" t="n">
        <v>-882222.31</v>
      </c>
    </row>
    <row r="139" customFormat="false" ht="15" hidden="false" customHeight="false" outlineLevel="0" collapsed="false">
      <c r="A139" s="2" t="s">
        <v>148</v>
      </c>
      <c r="B139" s="3" t="n">
        <v>12612058.38</v>
      </c>
      <c r="C139" s="3" t="n">
        <v>-3464048.69</v>
      </c>
      <c r="D139" s="3" t="n">
        <v>3321131.96</v>
      </c>
      <c r="E139" s="3" t="n">
        <v>-1425413.61</v>
      </c>
      <c r="F139" s="3" t="n">
        <v>-11187.59</v>
      </c>
      <c r="G139" s="3" t="n">
        <v>979021</v>
      </c>
      <c r="H139" s="3" t="n">
        <v>694466.43</v>
      </c>
      <c r="I139" s="3" t="n">
        <v>2134838.9</v>
      </c>
      <c r="J139" s="3" t="n">
        <v>85033.89</v>
      </c>
      <c r="K139" s="3" t="n">
        <v>795380.69</v>
      </c>
    </row>
    <row r="140" customFormat="false" ht="15" hidden="false" customHeight="false" outlineLevel="0" collapsed="false">
      <c r="A140" s="2" t="s">
        <v>149</v>
      </c>
      <c r="B140" s="3" t="n">
        <v>121234357.57</v>
      </c>
      <c r="C140" s="3" t="n">
        <v>-16640492.54</v>
      </c>
      <c r="D140" s="3" t="n">
        <v>7869773.82</v>
      </c>
      <c r="E140" s="3" t="n">
        <v>-3227852.69</v>
      </c>
      <c r="F140" s="3" t="n">
        <v>872234.93</v>
      </c>
      <c r="G140" s="3" t="n">
        <v>-542533.28</v>
      </c>
      <c r="H140" s="3" t="n">
        <v>-3570465</v>
      </c>
      <c r="I140" s="3" t="n">
        <v>366177.27</v>
      </c>
      <c r="J140" s="3" t="n">
        <v>-219534.01</v>
      </c>
      <c r="K140" s="3" t="n">
        <v>584502.95</v>
      </c>
    </row>
    <row r="141" customFormat="false" ht="15" hidden="false" customHeight="false" outlineLevel="0" collapsed="false">
      <c r="A141" s="2" t="s">
        <v>150</v>
      </c>
      <c r="B141" s="3" t="n">
        <v>23536986.11</v>
      </c>
      <c r="C141" s="3" t="n">
        <v>-41160280.56</v>
      </c>
      <c r="D141" s="3" t="n">
        <v>6210438.38</v>
      </c>
      <c r="E141" s="3" t="n">
        <v>-8938263.21</v>
      </c>
      <c r="F141" s="3" t="n">
        <v>2630300.21</v>
      </c>
      <c r="G141" s="3" t="n">
        <v>1423022.79</v>
      </c>
      <c r="H141" s="3" t="n">
        <v>-2799840.68</v>
      </c>
      <c r="I141" s="3" t="n">
        <v>-513476.37</v>
      </c>
      <c r="J141" s="3" t="n">
        <v>16835.8</v>
      </c>
      <c r="K141" s="3" t="n">
        <v>1013226.55</v>
      </c>
    </row>
    <row r="142" customFormat="false" ht="15" hidden="false" customHeight="false" outlineLevel="0" collapsed="false">
      <c r="A142" s="2" t="s">
        <v>151</v>
      </c>
      <c r="B142" s="3" t="n">
        <v>123638646.26</v>
      </c>
      <c r="C142" s="3" t="n">
        <v>119460430.23</v>
      </c>
      <c r="D142" s="3" t="n">
        <v>15656510.32</v>
      </c>
      <c r="E142" s="3" t="n">
        <v>4392774.67</v>
      </c>
      <c r="F142" s="3" t="n">
        <v>195084.41</v>
      </c>
      <c r="G142" s="3" t="n">
        <v>-1114415.5</v>
      </c>
      <c r="H142" s="3" t="n">
        <v>-4713616.66</v>
      </c>
      <c r="I142" s="3" t="n">
        <v>1374842.6</v>
      </c>
      <c r="J142" s="3" t="n">
        <v>1388201.01</v>
      </c>
      <c r="K142" s="3" t="n">
        <v>1706757.45</v>
      </c>
    </row>
    <row r="143" customFormat="false" ht="15" hidden="false" customHeight="false" outlineLevel="0" collapsed="false">
      <c r="A143" s="2" t="s">
        <v>152</v>
      </c>
      <c r="B143" s="3" t="n">
        <v>-23899506.96</v>
      </c>
      <c r="C143" s="3" t="n">
        <v>50863550.83</v>
      </c>
      <c r="D143" s="3" t="n">
        <v>-28207325.85</v>
      </c>
      <c r="E143" s="3" t="n">
        <v>-17055515.09</v>
      </c>
      <c r="F143" s="3" t="n">
        <v>-6577664.83</v>
      </c>
      <c r="G143" s="3" t="n">
        <v>-17922019.12</v>
      </c>
      <c r="H143" s="3" t="n">
        <v>-9016627.49</v>
      </c>
      <c r="I143" s="3" t="n">
        <v>-3531224.65</v>
      </c>
      <c r="J143" s="3" t="n">
        <v>25650826.19</v>
      </c>
      <c r="K143" s="3" t="n">
        <v>5676888.36</v>
      </c>
    </row>
    <row r="144" customFormat="false" ht="15" hidden="false" customHeight="false" outlineLevel="0" collapsed="false">
      <c r="A144" s="2" t="s">
        <v>153</v>
      </c>
      <c r="B144" s="3" t="n">
        <v>-12174781.96</v>
      </c>
      <c r="C144" s="3" t="n">
        <v>-7675303.04</v>
      </c>
      <c r="D144" s="3" t="n">
        <v>-10660948.67</v>
      </c>
      <c r="E144" s="3" t="n">
        <v>-1927352.66</v>
      </c>
      <c r="F144" s="3" t="n">
        <v>-9404524.2</v>
      </c>
      <c r="G144" s="3" t="n">
        <v>-10700664.8</v>
      </c>
      <c r="H144" s="3" t="n">
        <v>-13708975.16</v>
      </c>
      <c r="I144" s="3" t="n">
        <v>2833655.55</v>
      </c>
      <c r="J144" s="3" t="n">
        <v>1424138.2</v>
      </c>
      <c r="K144" s="3" t="n">
        <v>3243302.24</v>
      </c>
    </row>
    <row r="145" customFormat="false" ht="15" hidden="false" customHeight="false" outlineLevel="0" collapsed="false">
      <c r="A145" s="2" t="s">
        <v>154</v>
      </c>
      <c r="B145" s="3" t="n">
        <v>-60922301.76</v>
      </c>
      <c r="C145" s="3" t="n">
        <v>-45508420.13</v>
      </c>
      <c r="D145" s="3" t="n">
        <v>-331365.28</v>
      </c>
      <c r="E145" s="3" t="n">
        <v>-225544.09</v>
      </c>
      <c r="F145" s="3" t="n">
        <v>2367087.77</v>
      </c>
      <c r="G145" s="3" t="n">
        <v>-3002937.93</v>
      </c>
      <c r="H145" s="3" t="n">
        <v>-139129.59</v>
      </c>
      <c r="I145" s="3" t="n">
        <v>-259941.5</v>
      </c>
      <c r="J145" s="3" t="n">
        <v>745624.78</v>
      </c>
      <c r="K145" s="3" t="n">
        <v>1132222.93</v>
      </c>
    </row>
    <row r="146" customFormat="false" ht="15" hidden="false" customHeight="false" outlineLevel="0" collapsed="false">
      <c r="A146" s="2" t="s">
        <v>155</v>
      </c>
      <c r="B146" s="3" t="n">
        <v>-6510526.89</v>
      </c>
      <c r="C146" s="3" t="n">
        <v>-88481894.13</v>
      </c>
      <c r="D146" s="3" t="n">
        <v>8048951.28</v>
      </c>
      <c r="E146" s="3" t="n">
        <v>855250.48</v>
      </c>
      <c r="F146" s="3" t="n">
        <v>13601668.25</v>
      </c>
      <c r="G146" s="3" t="n">
        <v>760298.86</v>
      </c>
      <c r="H146" s="3" t="n">
        <v>-1677007.62</v>
      </c>
      <c r="I146" s="3" t="n">
        <v>370272.88</v>
      </c>
      <c r="J146" s="3" t="n">
        <v>63103.31</v>
      </c>
      <c r="K146" s="3" t="n">
        <v>1865972.37</v>
      </c>
    </row>
    <row r="147" customFormat="false" ht="15" hidden="false" customHeight="false" outlineLevel="0" collapsed="false">
      <c r="A147" s="2" t="s">
        <v>156</v>
      </c>
      <c r="B147" s="3" t="n">
        <v>24740817.22</v>
      </c>
      <c r="C147" s="3" t="n">
        <v>-38122148.09</v>
      </c>
      <c r="D147" s="3" t="n">
        <v>1321875.92</v>
      </c>
      <c r="E147" s="3" t="n">
        <v>9607151.71</v>
      </c>
      <c r="F147" s="3" t="n">
        <v>-1483452.99</v>
      </c>
      <c r="G147" s="3" t="n">
        <v>6536786.83</v>
      </c>
      <c r="H147" s="3" t="n">
        <v>2148620.35</v>
      </c>
      <c r="I147" s="3" t="n">
        <v>-304092.37</v>
      </c>
      <c r="J147" s="3" t="n">
        <v>-213150.52</v>
      </c>
      <c r="K147" s="3" t="n">
        <v>1795323.94</v>
      </c>
    </row>
    <row r="148" customFormat="false" ht="15" hidden="false" customHeight="false" outlineLevel="0" collapsed="false">
      <c r="A148" s="2" t="s">
        <v>157</v>
      </c>
      <c r="B148" s="3" t="n">
        <v>-275192118.5</v>
      </c>
      <c r="C148" s="3" t="n">
        <v>-9457923.05</v>
      </c>
      <c r="D148" s="3" t="n">
        <v>11434724.22</v>
      </c>
      <c r="E148" s="3" t="n">
        <v>-1416895.76</v>
      </c>
      <c r="F148" s="3" t="n">
        <v>-19164630.49</v>
      </c>
      <c r="G148" s="3" t="n">
        <v>12038221.38</v>
      </c>
      <c r="H148" s="3" t="n">
        <v>-1704687.08</v>
      </c>
      <c r="I148" s="3" t="n">
        <v>4591756.33</v>
      </c>
      <c r="J148" s="3" t="n">
        <v>402862.8</v>
      </c>
      <c r="K148" s="3" t="n">
        <v>1431231.27</v>
      </c>
    </row>
    <row r="149" customFormat="false" ht="15" hidden="false" customHeight="false" outlineLevel="0" collapsed="false">
      <c r="A149" s="2" t="s">
        <v>158</v>
      </c>
      <c r="B149" s="3" t="n">
        <v>13750057.95</v>
      </c>
      <c r="C149" s="3" t="n">
        <v>-17684149.53</v>
      </c>
      <c r="D149" s="3" t="n">
        <v>28722043.91</v>
      </c>
      <c r="E149" s="3" t="n">
        <v>-11167786</v>
      </c>
      <c r="F149" s="3" t="n">
        <v>1894113.13</v>
      </c>
      <c r="G149" s="3" t="n">
        <v>1761414.06</v>
      </c>
      <c r="H149" s="3" t="n">
        <v>330040.27</v>
      </c>
      <c r="I149" s="3" t="n">
        <v>-1258603.6</v>
      </c>
      <c r="J149" s="3" t="n">
        <v>-683299.29</v>
      </c>
      <c r="K149" s="3" t="n">
        <v>2351829.03</v>
      </c>
    </row>
    <row r="150" customFormat="false" ht="15" hidden="false" customHeight="false" outlineLevel="0" collapsed="false">
      <c r="A150" s="2" t="s">
        <v>159</v>
      </c>
      <c r="B150" s="3" t="n">
        <v>-122007852.76</v>
      </c>
      <c r="C150" s="3" t="n">
        <v>-56478205.43</v>
      </c>
      <c r="D150" s="3" t="n">
        <v>-17979947.26</v>
      </c>
      <c r="E150" s="3" t="n">
        <v>1061543.43</v>
      </c>
      <c r="F150" s="3" t="n">
        <v>-2493608.33</v>
      </c>
      <c r="G150" s="3" t="n">
        <v>842716.17</v>
      </c>
      <c r="H150" s="3" t="n">
        <v>1322723.51</v>
      </c>
      <c r="I150" s="3" t="n">
        <v>1112513.15</v>
      </c>
      <c r="J150" s="3" t="n">
        <v>-590765.67</v>
      </c>
      <c r="K150" s="3" t="n">
        <v>1964411.06</v>
      </c>
    </row>
    <row r="151" customFormat="false" ht="15" hidden="false" customHeight="false" outlineLevel="0" collapsed="false">
      <c r="A151" s="2" t="s">
        <v>160</v>
      </c>
      <c r="B151" s="3" t="n">
        <v>26708997.16</v>
      </c>
      <c r="C151" s="3" t="n">
        <v>-116021677.14</v>
      </c>
      <c r="D151" s="3" t="n">
        <v>11452517.75</v>
      </c>
      <c r="E151" s="3" t="n">
        <v>1526229.83</v>
      </c>
      <c r="F151" s="3" t="n">
        <v>2187281</v>
      </c>
      <c r="G151" s="3" t="n">
        <v>3324396.09</v>
      </c>
      <c r="H151" s="3" t="n">
        <v>-495077.54</v>
      </c>
      <c r="I151" s="3" t="n">
        <v>2679897.47</v>
      </c>
      <c r="J151" s="3" t="n">
        <v>960595.76</v>
      </c>
      <c r="K151" s="3" t="n">
        <v>2673243.05</v>
      </c>
    </row>
    <row r="152" customFormat="false" ht="15" hidden="false" customHeight="false" outlineLevel="0" collapsed="false">
      <c r="A152" s="2" t="s">
        <v>161</v>
      </c>
      <c r="B152" s="3" t="n">
        <v>50453588.9</v>
      </c>
      <c r="C152" s="3" t="n">
        <v>-63557308.58</v>
      </c>
      <c r="D152" s="3" t="n">
        <v>19612778.37</v>
      </c>
      <c r="E152" s="3" t="n">
        <v>-151433172.03</v>
      </c>
      <c r="F152" s="3" t="n">
        <v>4115412.84</v>
      </c>
      <c r="G152" s="3" t="n">
        <v>5491194.96</v>
      </c>
      <c r="H152" s="3" t="n">
        <v>-152845</v>
      </c>
      <c r="I152" s="3" t="n">
        <v>-24085.92</v>
      </c>
      <c r="J152" s="3" t="n">
        <v>-241114.67</v>
      </c>
      <c r="K152" s="3" t="n">
        <v>802749.95</v>
      </c>
    </row>
    <row r="153" customFormat="false" ht="15" hidden="false" customHeight="false" outlineLevel="0" collapsed="false">
      <c r="A153" s="2" t="s">
        <v>162</v>
      </c>
      <c r="B153" s="3" t="n">
        <v>219965203.77</v>
      </c>
      <c r="C153" s="3" t="n">
        <v>-23437768.55</v>
      </c>
      <c r="D153" s="3" t="n">
        <v>3939738.7</v>
      </c>
      <c r="E153" s="3" t="n">
        <v>-433622.12</v>
      </c>
      <c r="F153" s="3" t="n">
        <v>7007244.09</v>
      </c>
      <c r="G153" s="3" t="n">
        <v>1052266.09</v>
      </c>
      <c r="H153" s="3" t="n">
        <v>-893725.41</v>
      </c>
      <c r="I153" s="3" t="n">
        <v>2119700.75</v>
      </c>
      <c r="J153" s="3" t="n">
        <v>-269486.67</v>
      </c>
      <c r="K153" s="3" t="n">
        <v>801259.83</v>
      </c>
    </row>
    <row r="154" customFormat="false" ht="15" hidden="false" customHeight="false" outlineLevel="0" collapsed="false">
      <c r="A154" s="2" t="s">
        <v>163</v>
      </c>
      <c r="B154" s="3" t="n">
        <v>249665414.06</v>
      </c>
      <c r="C154" s="3" t="n">
        <v>-16933356.76</v>
      </c>
      <c r="D154" s="3" t="n">
        <v>19669406.83</v>
      </c>
      <c r="E154" s="3" t="n">
        <v>-25373466.76</v>
      </c>
      <c r="F154" s="3" t="n">
        <v>-10728593.3</v>
      </c>
      <c r="G154" s="3" t="n">
        <v>1093221.21</v>
      </c>
      <c r="H154" s="3" t="n">
        <v>-4136014.17</v>
      </c>
      <c r="I154" s="3" t="n">
        <v>6086972.73</v>
      </c>
      <c r="J154" s="3" t="n">
        <v>796464.16</v>
      </c>
      <c r="K154" s="3" t="n">
        <v>-7992073.59</v>
      </c>
    </row>
    <row r="155" customFormat="false" ht="15" hidden="false" customHeight="false" outlineLevel="0" collapsed="false">
      <c r="A155" s="2" t="s">
        <v>164</v>
      </c>
      <c r="B155" s="3" t="n">
        <v>-152106263.39</v>
      </c>
      <c r="C155" s="3" t="n">
        <v>39479803.31</v>
      </c>
      <c r="D155" s="3" t="n">
        <v>15854778.13</v>
      </c>
      <c r="E155" s="3" t="n">
        <v>2805756.24</v>
      </c>
      <c r="F155" s="3" t="n">
        <v>-10848393.88</v>
      </c>
      <c r="G155" s="3" t="n">
        <v>356437.77</v>
      </c>
      <c r="H155" s="3" t="n">
        <v>-2226782.58</v>
      </c>
      <c r="I155" s="3" t="n">
        <v>2120594.54</v>
      </c>
      <c r="J155" s="3" t="n">
        <v>-565429.7</v>
      </c>
      <c r="K155" s="3" t="n">
        <v>766915.21</v>
      </c>
    </row>
    <row r="156" customFormat="false" ht="15" hidden="false" customHeight="false" outlineLevel="0" collapsed="false">
      <c r="A156" s="2" t="s">
        <v>165</v>
      </c>
      <c r="B156" s="3" t="n">
        <v>7676754</v>
      </c>
      <c r="C156" s="3" t="n">
        <v>-15865929.93</v>
      </c>
      <c r="D156" s="3" t="n">
        <v>6290013.11</v>
      </c>
      <c r="E156" s="3" t="n">
        <v>1830942.61</v>
      </c>
      <c r="F156" s="3" t="n">
        <v>-1232001.67</v>
      </c>
      <c r="G156" s="3" t="n">
        <v>-2448633.92</v>
      </c>
      <c r="H156" s="3" t="n">
        <v>-3577013.36</v>
      </c>
      <c r="I156" s="3" t="n">
        <v>-2171271.42</v>
      </c>
      <c r="J156" s="3" t="n">
        <v>-628956.29</v>
      </c>
      <c r="K156" s="3" t="n">
        <v>948281.36</v>
      </c>
    </row>
    <row r="157" customFormat="false" ht="15" hidden="false" customHeight="false" outlineLevel="0" collapsed="false">
      <c r="A157" s="2" t="s">
        <v>166</v>
      </c>
      <c r="B157" s="3" t="n">
        <v>21970233.15</v>
      </c>
      <c r="C157" s="3" t="n">
        <v>-53520926.28</v>
      </c>
      <c r="D157" s="3" t="n">
        <v>747325.46</v>
      </c>
      <c r="E157" s="3" t="n">
        <v>6512764.32</v>
      </c>
      <c r="F157" s="3" t="n">
        <v>2806760.56</v>
      </c>
      <c r="G157" s="3" t="n">
        <v>1320757.6</v>
      </c>
      <c r="H157" s="3" t="n">
        <v>-11210312.93</v>
      </c>
      <c r="I157" s="3" t="n">
        <v>1557353.98</v>
      </c>
      <c r="J157" s="3" t="n">
        <v>-1491291.93</v>
      </c>
      <c r="K157" s="3" t="n">
        <v>2133006.85</v>
      </c>
    </row>
    <row r="158" customFormat="false" ht="15" hidden="false" customHeight="false" outlineLevel="0" collapsed="false">
      <c r="A158" s="2" t="s">
        <v>167</v>
      </c>
      <c r="B158" s="3" t="n">
        <v>-7183071.09</v>
      </c>
      <c r="C158" s="3" t="n">
        <v>-101273176.8</v>
      </c>
      <c r="D158" s="3" t="n">
        <v>36980058.46</v>
      </c>
      <c r="E158" s="3" t="n">
        <v>-1613308.68</v>
      </c>
      <c r="F158" s="3" t="n">
        <v>879031.09</v>
      </c>
      <c r="G158" s="3" t="n">
        <v>-11860575.65</v>
      </c>
      <c r="H158" s="3" t="n">
        <v>-485341.79</v>
      </c>
      <c r="I158" s="3" t="n">
        <v>411943.66</v>
      </c>
      <c r="J158" s="3" t="n">
        <v>-717402.75</v>
      </c>
      <c r="K158" s="3" t="n">
        <v>-17793065.02</v>
      </c>
    </row>
    <row r="159" customFormat="false" ht="15" hidden="false" customHeight="false" outlineLevel="0" collapsed="false">
      <c r="A159" s="2" t="s">
        <v>168</v>
      </c>
      <c r="B159" s="3" t="n">
        <v>141903933.92</v>
      </c>
      <c r="C159" s="3" t="n">
        <v>-30997240.16</v>
      </c>
      <c r="D159" s="3" t="n">
        <v>3901008.01</v>
      </c>
      <c r="E159" s="3" t="n">
        <v>2319892.65</v>
      </c>
      <c r="F159" s="3" t="n">
        <v>-48775930.84</v>
      </c>
      <c r="G159" s="3" t="n">
        <v>2053960.07</v>
      </c>
      <c r="H159" s="3" t="n">
        <v>4439399.9</v>
      </c>
      <c r="I159" s="3" t="n">
        <v>710791.36</v>
      </c>
      <c r="J159" s="3" t="n">
        <v>-185338.13</v>
      </c>
      <c r="K159" s="3" t="n">
        <v>1491656.04</v>
      </c>
    </row>
    <row r="160" customFormat="false" ht="15" hidden="false" customHeight="false" outlineLevel="0" collapsed="false">
      <c r="A160" s="2" t="s">
        <v>169</v>
      </c>
      <c r="B160" s="3" t="n">
        <v>-2407098.08</v>
      </c>
      <c r="C160" s="3" t="n">
        <v>-7293762.79</v>
      </c>
      <c r="D160" s="3" t="n">
        <v>1754931.9</v>
      </c>
      <c r="E160" s="3" t="n">
        <v>9333449.04</v>
      </c>
      <c r="F160" s="3" t="n">
        <v>-869198.75</v>
      </c>
      <c r="G160" s="3" t="n">
        <v>1070883.18</v>
      </c>
      <c r="H160" s="3" t="n">
        <v>1734116.61</v>
      </c>
      <c r="I160" s="3" t="n">
        <v>1889061.17</v>
      </c>
      <c r="J160" s="3" t="n">
        <v>-4671502.63</v>
      </c>
      <c r="K160" s="3" t="n">
        <v>2086208.56</v>
      </c>
    </row>
    <row r="161" customFormat="false" ht="15" hidden="false" customHeight="false" outlineLevel="0" collapsed="false">
      <c r="A161" s="2" t="s">
        <v>170</v>
      </c>
      <c r="B161" s="3" t="n">
        <v>-141668965.89</v>
      </c>
      <c r="C161" s="3" t="n">
        <v>82128109.56</v>
      </c>
      <c r="D161" s="3" t="n">
        <v>977577.16</v>
      </c>
      <c r="E161" s="3" t="n">
        <v>7428155.29</v>
      </c>
      <c r="F161" s="3" t="n">
        <v>7138364.86</v>
      </c>
      <c r="G161" s="3" t="n">
        <v>3561754.69</v>
      </c>
      <c r="H161" s="3" t="n">
        <v>3719562.57</v>
      </c>
      <c r="I161" s="3" t="n">
        <v>2937509.07</v>
      </c>
      <c r="J161" s="3" t="n">
        <v>465380.75</v>
      </c>
      <c r="K161" s="3" t="n">
        <v>1626509.7</v>
      </c>
    </row>
    <row r="162" customFormat="false" ht="15" hidden="false" customHeight="false" outlineLevel="0" collapsed="false">
      <c r="A162" s="2" t="s">
        <v>171</v>
      </c>
      <c r="B162" s="3" t="n">
        <v>284875460.72</v>
      </c>
      <c r="C162" s="3" t="n">
        <v>52705941.35</v>
      </c>
      <c r="D162" s="3" t="n">
        <v>12679787.52</v>
      </c>
      <c r="E162" s="3" t="n">
        <v>-111502621.15</v>
      </c>
      <c r="F162" s="3" t="n">
        <v>-6222718.87</v>
      </c>
      <c r="G162" s="3" t="n">
        <v>2703395.17</v>
      </c>
      <c r="H162" s="3" t="n">
        <v>4433180.02</v>
      </c>
      <c r="I162" s="3" t="n">
        <v>1228917.1</v>
      </c>
      <c r="J162" s="3" t="n">
        <v>-663865.46</v>
      </c>
      <c r="K162" s="3" t="n">
        <v>732843.76</v>
      </c>
    </row>
    <row r="163" customFormat="false" ht="15" hidden="false" customHeight="false" outlineLevel="0" collapsed="false">
      <c r="A163" s="2" t="s">
        <v>172</v>
      </c>
      <c r="B163" s="3" t="n">
        <v>132992580.16</v>
      </c>
      <c r="C163" s="3" t="n">
        <v>59797969.48</v>
      </c>
      <c r="D163" s="3" t="n">
        <v>2063377.77</v>
      </c>
      <c r="E163" s="3" t="n">
        <v>-3033177.53</v>
      </c>
      <c r="F163" s="3" t="n">
        <v>1552793.07</v>
      </c>
      <c r="G163" s="3" t="n">
        <v>2721334.71</v>
      </c>
      <c r="H163" s="3" t="n">
        <v>830932.32</v>
      </c>
      <c r="I163" s="3" t="n">
        <v>2039564.48</v>
      </c>
      <c r="J163" s="3" t="n">
        <v>2106295.42</v>
      </c>
      <c r="K163" s="3" t="n">
        <v>1399109.87</v>
      </c>
    </row>
    <row r="164" customFormat="false" ht="15" hidden="false" customHeight="false" outlineLevel="0" collapsed="false">
      <c r="A164" s="2" t="s">
        <v>173</v>
      </c>
      <c r="B164" s="3" t="n">
        <v>-62860200.2</v>
      </c>
      <c r="C164" s="3" t="n">
        <v>-98240577.85</v>
      </c>
      <c r="D164" s="3" t="n">
        <v>17367904.18</v>
      </c>
      <c r="E164" s="3" t="n">
        <v>19807553.91</v>
      </c>
      <c r="F164" s="3" t="n">
        <v>-6106983.83</v>
      </c>
      <c r="G164" s="3" t="n">
        <v>12726175.29</v>
      </c>
      <c r="H164" s="3" t="n">
        <v>2639281.46</v>
      </c>
      <c r="I164" s="3" t="n">
        <v>2492510.95</v>
      </c>
      <c r="J164" s="3" t="n">
        <v>490264.65</v>
      </c>
      <c r="K164" s="3" t="n">
        <v>2855402.06</v>
      </c>
    </row>
    <row r="165" customFormat="false" ht="15" hidden="false" customHeight="false" outlineLevel="0" collapsed="false">
      <c r="A165" s="2" t="s">
        <v>174</v>
      </c>
      <c r="B165" s="3" t="n">
        <v>78882587.8</v>
      </c>
      <c r="C165" s="3" t="n">
        <v>-137114655.63</v>
      </c>
      <c r="D165" s="3" t="n">
        <v>12250136.48</v>
      </c>
      <c r="E165" s="3" t="n">
        <v>12090525.99</v>
      </c>
      <c r="F165" s="3" t="n">
        <v>-2381649.21</v>
      </c>
      <c r="G165" s="3" t="n">
        <v>2111908.18</v>
      </c>
      <c r="H165" s="3" t="n">
        <v>4123545.29</v>
      </c>
      <c r="I165" s="3" t="n">
        <v>1833318.31</v>
      </c>
      <c r="J165" s="3" t="n">
        <v>-732910.76</v>
      </c>
      <c r="K165" s="3" t="n">
        <v>334333.64</v>
      </c>
    </row>
    <row r="166" customFormat="false" ht="15" hidden="false" customHeight="false" outlineLevel="0" collapsed="false">
      <c r="A166" s="2" t="s">
        <v>175</v>
      </c>
      <c r="B166" s="3" t="n">
        <v>35516925.63</v>
      </c>
      <c r="C166" s="3" t="n">
        <v>-94535639.18</v>
      </c>
      <c r="D166" s="3" t="n">
        <v>2848649.71</v>
      </c>
      <c r="E166" s="3" t="n">
        <v>682640.63</v>
      </c>
      <c r="F166" s="3" t="n">
        <v>-241606.59</v>
      </c>
      <c r="G166" s="3" t="n">
        <v>493910.62</v>
      </c>
      <c r="H166" s="3" t="n">
        <v>1876105.34</v>
      </c>
      <c r="I166" s="3" t="n">
        <v>1523596.97</v>
      </c>
      <c r="J166" s="3" t="n">
        <v>-1558911.1</v>
      </c>
      <c r="K166" s="3" t="n">
        <v>328491.03</v>
      </c>
    </row>
    <row r="167" customFormat="false" ht="15" hidden="false" customHeight="false" outlineLevel="0" collapsed="false">
      <c r="A167" s="2" t="s">
        <v>176</v>
      </c>
      <c r="B167" s="3" t="n">
        <v>15155591.58</v>
      </c>
      <c r="C167" s="3" t="n">
        <v>-7372129.76</v>
      </c>
      <c r="D167" s="3" t="n">
        <v>-2507873.38</v>
      </c>
      <c r="E167" s="3" t="n">
        <v>-6949872.72</v>
      </c>
      <c r="F167" s="3" t="n">
        <v>3169812.65</v>
      </c>
      <c r="G167" s="3" t="n">
        <v>2973278.51</v>
      </c>
      <c r="H167" s="3" t="n">
        <v>961850.53</v>
      </c>
      <c r="I167" s="3" t="n">
        <v>-2130492.18</v>
      </c>
      <c r="J167" s="3" t="n">
        <v>475589.16</v>
      </c>
      <c r="K167" s="3" t="n">
        <v>656806.62</v>
      </c>
    </row>
    <row r="168" customFormat="false" ht="15" hidden="false" customHeight="false" outlineLevel="0" collapsed="false">
      <c r="A168" s="2" t="s">
        <v>177</v>
      </c>
      <c r="B168" s="3" t="n">
        <v>33833358.76</v>
      </c>
      <c r="C168" s="3" t="n">
        <v>89693467.62</v>
      </c>
      <c r="D168" s="3" t="n">
        <v>20472505.13</v>
      </c>
      <c r="E168" s="3" t="n">
        <v>-4710328.93</v>
      </c>
      <c r="F168" s="3" t="n">
        <v>-13107031.98</v>
      </c>
      <c r="G168" s="3" t="n">
        <v>875701.85</v>
      </c>
      <c r="H168" s="3" t="n">
        <v>-1816927.54</v>
      </c>
      <c r="I168" s="3" t="n">
        <v>10015431.83</v>
      </c>
      <c r="J168" s="3" t="n">
        <v>130323.83</v>
      </c>
      <c r="K168" s="3" t="n">
        <v>381341.29</v>
      </c>
    </row>
    <row r="169" customFormat="false" ht="15" hidden="false" customHeight="false" outlineLevel="0" collapsed="false">
      <c r="A169" s="2" t="s">
        <v>178</v>
      </c>
      <c r="B169" s="3" t="n">
        <v>-24703078.17</v>
      </c>
      <c r="C169" s="3" t="n">
        <v>-55801109.77</v>
      </c>
      <c r="D169" s="3" t="n">
        <v>5354233.53</v>
      </c>
      <c r="E169" s="3" t="n">
        <v>15570613.6</v>
      </c>
      <c r="F169" s="3" t="n">
        <v>3872797.01</v>
      </c>
      <c r="G169" s="3" t="n">
        <v>-2192759.73</v>
      </c>
      <c r="H169" s="3" t="n">
        <v>-15058335.33</v>
      </c>
      <c r="I169" s="3" t="n">
        <v>1434138.53</v>
      </c>
      <c r="J169" s="3" t="n">
        <v>-131790.89</v>
      </c>
      <c r="K169" s="3" t="n">
        <v>1198718.56</v>
      </c>
    </row>
    <row r="170" customFormat="false" ht="15" hidden="false" customHeight="false" outlineLevel="0" collapsed="false">
      <c r="A170" s="2" t="s">
        <v>179</v>
      </c>
      <c r="B170" s="3" t="n">
        <v>16187301.18</v>
      </c>
      <c r="C170" s="3" t="n">
        <v>-27709599.88</v>
      </c>
      <c r="D170" s="3" t="n">
        <v>-8835556.52</v>
      </c>
      <c r="E170" s="3" t="n">
        <v>-3041563.6</v>
      </c>
      <c r="F170" s="3" t="n">
        <v>2838167.45</v>
      </c>
      <c r="G170" s="3" t="n">
        <v>-570655.88</v>
      </c>
      <c r="H170" s="3" t="n">
        <v>-2201088.06</v>
      </c>
      <c r="I170" s="3" t="n">
        <v>3356826.9</v>
      </c>
      <c r="J170" s="3" t="n">
        <v>1003973.77</v>
      </c>
      <c r="K170" s="3" t="n">
        <v>2029328.02</v>
      </c>
    </row>
    <row r="171" customFormat="false" ht="15" hidden="false" customHeight="false" outlineLevel="0" collapsed="false">
      <c r="A171" s="2" t="s">
        <v>180</v>
      </c>
      <c r="B171" s="3" t="n">
        <v>-4404346.09</v>
      </c>
      <c r="C171" s="3" t="n">
        <v>9689681.99</v>
      </c>
      <c r="D171" s="3" t="n">
        <v>1139301.46</v>
      </c>
      <c r="E171" s="3" t="n">
        <v>-614824.29</v>
      </c>
      <c r="F171" s="3" t="n">
        <v>2252825.5</v>
      </c>
      <c r="G171" s="3" t="n">
        <v>1209573.77</v>
      </c>
      <c r="H171" s="3" t="n">
        <v>-271898.73</v>
      </c>
      <c r="I171" s="3" t="n">
        <v>1131899.71</v>
      </c>
      <c r="J171" s="3" t="n">
        <v>82756.32</v>
      </c>
      <c r="K171" s="3" t="n">
        <v>2085665.94</v>
      </c>
    </row>
    <row r="172" customFormat="false" ht="15" hidden="false" customHeight="false" outlineLevel="0" collapsed="false">
      <c r="A172" s="2" t="s">
        <v>181</v>
      </c>
      <c r="B172" s="3" t="n">
        <v>-413172493.54</v>
      </c>
      <c r="C172" s="3" t="n">
        <v>415539982.06</v>
      </c>
      <c r="D172" s="3" t="n">
        <v>-3650038.94</v>
      </c>
      <c r="E172" s="3" t="n">
        <v>-294831.16</v>
      </c>
      <c r="F172" s="3" t="n">
        <v>2604826.62</v>
      </c>
      <c r="G172" s="3" t="n">
        <v>-813162.86</v>
      </c>
      <c r="H172" s="3" t="n">
        <v>152008.5</v>
      </c>
      <c r="I172" s="3" t="n">
        <v>2407087.09</v>
      </c>
      <c r="J172" s="3" t="n">
        <v>-46927.63</v>
      </c>
      <c r="K172" s="3" t="n">
        <v>1937428.86</v>
      </c>
    </row>
    <row r="173" customFormat="false" ht="15" hidden="false" customHeight="false" outlineLevel="0" collapsed="false">
      <c r="A173" s="2" t="s">
        <v>182</v>
      </c>
      <c r="B173" s="3" t="n">
        <v>56178604.22</v>
      </c>
      <c r="C173" s="3" t="n">
        <v>-53282532.24</v>
      </c>
      <c r="D173" s="3" t="n">
        <v>15182749.09</v>
      </c>
      <c r="E173" s="3" t="n">
        <v>628821.14</v>
      </c>
      <c r="F173" s="3" t="n">
        <v>1600080.73</v>
      </c>
      <c r="G173" s="3" t="n">
        <v>-2427432.68</v>
      </c>
      <c r="H173" s="3" t="n">
        <v>320134.62</v>
      </c>
      <c r="I173" s="3" t="n">
        <v>-3148535</v>
      </c>
      <c r="J173" s="3" t="n">
        <v>413752.33</v>
      </c>
      <c r="K173" s="3" t="n">
        <v>1406945.16</v>
      </c>
    </row>
    <row r="174" customFormat="false" ht="15" hidden="false" customHeight="false" outlineLevel="0" collapsed="false">
      <c r="A174" s="2" t="s">
        <v>183</v>
      </c>
      <c r="B174" s="3" t="n">
        <v>-54581997.2</v>
      </c>
      <c r="C174" s="3" t="n">
        <v>-39836097.42</v>
      </c>
      <c r="D174" s="3" t="n">
        <v>15661001.84</v>
      </c>
      <c r="E174" s="3" t="n">
        <v>500318.64</v>
      </c>
      <c r="F174" s="3" t="n">
        <v>-282560.56</v>
      </c>
      <c r="G174" s="3" t="n">
        <v>-6663065.59</v>
      </c>
      <c r="H174" s="3" t="n">
        <v>-898063.96</v>
      </c>
      <c r="I174" s="3" t="n">
        <v>-53366.74</v>
      </c>
      <c r="J174" s="3" t="n">
        <v>227610.76</v>
      </c>
      <c r="K174" s="3" t="n">
        <v>1143504.96</v>
      </c>
    </row>
    <row r="175" customFormat="false" ht="15" hidden="false" customHeight="false" outlineLevel="0" collapsed="false">
      <c r="A175" s="2" t="s">
        <v>184</v>
      </c>
      <c r="B175" s="3" t="n">
        <v>39117516.18</v>
      </c>
      <c r="C175" s="3" t="n">
        <v>-117012476.37</v>
      </c>
      <c r="D175" s="3" t="n">
        <v>17613146.44</v>
      </c>
      <c r="E175" s="3" t="n">
        <v>-21655149.03</v>
      </c>
      <c r="F175" s="3" t="n">
        <v>-10099536.3</v>
      </c>
      <c r="G175" s="3" t="n">
        <v>9567222.23</v>
      </c>
      <c r="H175" s="3" t="n">
        <v>1776582.86</v>
      </c>
      <c r="I175" s="3" t="n">
        <v>-81510.41</v>
      </c>
      <c r="J175" s="3" t="n">
        <v>1111071.98</v>
      </c>
      <c r="K175" s="3" t="n">
        <v>1298010.39</v>
      </c>
    </row>
    <row r="176" customFormat="false" ht="15" hidden="false" customHeight="false" outlineLevel="0" collapsed="false">
      <c r="A176" s="2" t="s">
        <v>185</v>
      </c>
      <c r="B176" s="3" t="n">
        <v>-173020386.96</v>
      </c>
      <c r="C176" s="3" t="n">
        <v>247217041.17</v>
      </c>
      <c r="D176" s="3" t="n">
        <v>-73106148.86</v>
      </c>
      <c r="E176" s="3" t="n">
        <v>-2715461.27</v>
      </c>
      <c r="F176" s="3" t="n">
        <v>-2173253.81</v>
      </c>
      <c r="G176" s="3" t="n">
        <v>3043976.95</v>
      </c>
      <c r="H176" s="3" t="n">
        <v>-1118139.5</v>
      </c>
      <c r="I176" s="3" t="n">
        <v>-7502361.37</v>
      </c>
      <c r="J176" s="3" t="n">
        <v>171068.61</v>
      </c>
      <c r="K176" s="3" t="n">
        <v>586124.3</v>
      </c>
    </row>
    <row r="177" customFormat="false" ht="15" hidden="false" customHeight="false" outlineLevel="0" collapsed="false">
      <c r="A177" s="2" t="s">
        <v>186</v>
      </c>
      <c r="B177" s="3" t="n">
        <v>-66494363.29</v>
      </c>
      <c r="C177" s="3" t="n">
        <v>88087921.72</v>
      </c>
      <c r="D177" s="3" t="n">
        <v>80220934.48</v>
      </c>
      <c r="E177" s="3" t="n">
        <v>-2240831.72</v>
      </c>
      <c r="F177" s="3" t="n">
        <v>3818648.18</v>
      </c>
      <c r="G177" s="3" t="n">
        <v>7022633.57</v>
      </c>
      <c r="H177" s="3" t="n">
        <v>2115872.14</v>
      </c>
      <c r="I177" s="3" t="n">
        <v>-129501.91</v>
      </c>
      <c r="J177" s="3" t="n">
        <v>526175.67</v>
      </c>
      <c r="K177" s="3" t="n">
        <v>1812143.39</v>
      </c>
    </row>
    <row r="178" customFormat="false" ht="15" hidden="false" customHeight="false" outlineLevel="0" collapsed="false">
      <c r="A178" s="2" t="s">
        <v>187</v>
      </c>
      <c r="B178" s="3" t="n">
        <v>-14831445.8</v>
      </c>
      <c r="C178" s="3" t="n">
        <v>64597600.72</v>
      </c>
      <c r="D178" s="3" t="n">
        <v>-5133088.64</v>
      </c>
      <c r="E178" s="3" t="n">
        <v>-197398.79</v>
      </c>
      <c r="F178" s="3" t="n">
        <v>2837707.29</v>
      </c>
      <c r="G178" s="3" t="n">
        <v>11628692.75</v>
      </c>
      <c r="H178" s="3" t="n">
        <v>-3128686.95</v>
      </c>
      <c r="I178" s="3" t="n">
        <v>-1802693.81</v>
      </c>
      <c r="J178" s="3" t="n">
        <v>334087.59</v>
      </c>
      <c r="K178" s="3" t="n">
        <v>1336305.4</v>
      </c>
    </row>
    <row r="179" customFormat="false" ht="15" hidden="false" customHeight="false" outlineLevel="0" collapsed="false">
      <c r="A179" s="2" t="s">
        <v>188</v>
      </c>
      <c r="B179" s="3" t="n">
        <v>-75427633.96</v>
      </c>
      <c r="C179" s="3" t="n">
        <v>-49281838.87</v>
      </c>
      <c r="D179" s="3" t="n">
        <v>3049861.6</v>
      </c>
      <c r="E179" s="3" t="n">
        <v>-1496221.36</v>
      </c>
      <c r="F179" s="3" t="n">
        <v>-2864261.18</v>
      </c>
      <c r="G179" s="3" t="n">
        <v>6248449.2</v>
      </c>
      <c r="H179" s="3" t="n">
        <v>-187133.28</v>
      </c>
      <c r="I179" s="3" t="n">
        <v>-10342409.7</v>
      </c>
      <c r="J179" s="3" t="n">
        <v>-50102.56</v>
      </c>
      <c r="K179" s="3" t="n">
        <v>1285503.27</v>
      </c>
    </row>
    <row r="180" customFormat="false" ht="15" hidden="false" customHeight="false" outlineLevel="0" collapsed="false">
      <c r="A180" s="2" t="s">
        <v>189</v>
      </c>
      <c r="B180" s="3" t="n">
        <v>-6466900.05</v>
      </c>
      <c r="C180" s="3" t="n">
        <v>145971.33</v>
      </c>
      <c r="D180" s="3" t="n">
        <v>10332253.71</v>
      </c>
      <c r="E180" s="3" t="n">
        <v>-3565568.52</v>
      </c>
      <c r="F180" s="3" t="n">
        <v>527100.9</v>
      </c>
      <c r="G180" s="3" t="n">
        <v>12868220.16</v>
      </c>
      <c r="H180" s="3" t="n">
        <v>-371370.43</v>
      </c>
      <c r="I180" s="3" t="n">
        <v>-3209573.27</v>
      </c>
      <c r="J180" s="3" t="n">
        <v>-65651.16</v>
      </c>
      <c r="K180" s="3" t="n">
        <v>616561.2</v>
      </c>
    </row>
    <row r="181" customFormat="false" ht="15" hidden="false" customHeight="false" outlineLevel="0" collapsed="false">
      <c r="A181" s="2" t="s">
        <v>190</v>
      </c>
      <c r="B181" s="3" t="n">
        <v>60548502.51</v>
      </c>
      <c r="C181" s="3" t="n">
        <v>-31603612.69</v>
      </c>
      <c r="D181" s="3" t="n">
        <v>-2730338.2</v>
      </c>
      <c r="E181" s="3" t="n">
        <v>-604943.54</v>
      </c>
      <c r="F181" s="3" t="n">
        <v>-4395916.27</v>
      </c>
      <c r="G181" s="3" t="n">
        <v>539277.89</v>
      </c>
      <c r="H181" s="3" t="n">
        <v>-6328924.95</v>
      </c>
      <c r="I181" s="3" t="n">
        <v>57265.34</v>
      </c>
      <c r="J181" s="3" t="n">
        <v>145238.19</v>
      </c>
      <c r="K181" s="3" t="n">
        <v>463782.68</v>
      </c>
    </row>
    <row r="182" customFormat="false" ht="15" hidden="false" customHeight="false" outlineLevel="0" collapsed="false">
      <c r="A182" s="2" t="s">
        <v>191</v>
      </c>
      <c r="B182" s="3" t="n">
        <v>-6321588.88</v>
      </c>
      <c r="C182" s="3" t="n">
        <v>-34894003.76</v>
      </c>
      <c r="D182" s="3" t="n">
        <v>-6290378.48</v>
      </c>
      <c r="E182" s="3" t="n">
        <v>3437654.72</v>
      </c>
      <c r="F182" s="3" t="n">
        <v>-4885266.54</v>
      </c>
      <c r="G182" s="3" t="n">
        <v>-108648.9</v>
      </c>
      <c r="H182" s="3" t="n">
        <v>7426336.8</v>
      </c>
      <c r="I182" s="3" t="n">
        <v>591244.04</v>
      </c>
      <c r="J182" s="3" t="n">
        <v>-781270.95</v>
      </c>
      <c r="K182" s="3" t="n">
        <v>909279.59</v>
      </c>
    </row>
  </sheetData>
  <autoFilter ref="A1:K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7" min="1" style="0" width="14"/>
  </cols>
  <sheetData>
    <row r="1" customFormat="false" ht="39.55" hidden="false" customHeight="false" outlineLevel="0" collapsed="false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</row>
    <row r="2" customFormat="false" ht="15" hidden="false" customHeight="false" outlineLevel="0" collapsed="false">
      <c r="A2" s="2" t="s">
        <v>11</v>
      </c>
      <c r="B2" s="3" t="n">
        <v>0</v>
      </c>
      <c r="C2" s="3" t="n">
        <v>85129611.53</v>
      </c>
      <c r="D2" s="3" t="n">
        <v>68213329</v>
      </c>
      <c r="E2" s="3" t="n">
        <v>32252537.31</v>
      </c>
      <c r="F2" s="3" t="n">
        <v>49916295.97</v>
      </c>
      <c r="G2" s="3" t="n">
        <v>50178096.37</v>
      </c>
      <c r="H2" s="3" t="n">
        <v>61074680.56</v>
      </c>
      <c r="I2" s="3" t="n">
        <v>26825272.8</v>
      </c>
      <c r="J2" s="3" t="n">
        <v>20809872.22</v>
      </c>
      <c r="K2" s="3" t="n">
        <v>9197138.9</v>
      </c>
      <c r="L2" s="3" t="n">
        <v>15695226.26</v>
      </c>
      <c r="M2" s="3" t="n">
        <v>3612634.7</v>
      </c>
      <c r="N2" s="3" t="n">
        <v>0</v>
      </c>
      <c r="O2" s="3" t="n">
        <v>624956.6</v>
      </c>
      <c r="P2" s="3" t="n">
        <v>42994546.27</v>
      </c>
      <c r="Q2" s="3" t="n">
        <v>502523480.79</v>
      </c>
    </row>
    <row r="3" customFormat="false" ht="15" hidden="false" customHeight="false" outlineLevel="0" collapsed="false">
      <c r="A3" s="2" t="s">
        <v>12</v>
      </c>
      <c r="B3" s="3" t="n">
        <v>0</v>
      </c>
      <c r="C3" s="3" t="n">
        <v>116057735.64</v>
      </c>
      <c r="D3" s="3" t="n">
        <v>99742839.14</v>
      </c>
      <c r="E3" s="3" t="n">
        <v>41257677.77</v>
      </c>
      <c r="F3" s="3" t="n">
        <v>115007345.66</v>
      </c>
      <c r="G3" s="3" t="n">
        <v>65938591.39</v>
      </c>
      <c r="H3" s="3" t="n">
        <v>80309362.72</v>
      </c>
      <c r="I3" s="3" t="n">
        <v>44088346.72</v>
      </c>
      <c r="J3" s="3" t="n">
        <v>34071262.39</v>
      </c>
      <c r="K3" s="3" t="n">
        <v>7793175.11</v>
      </c>
      <c r="L3" s="3" t="n">
        <v>23586084.74</v>
      </c>
      <c r="M3" s="3" t="n">
        <v>18401651.53</v>
      </c>
      <c r="N3" s="3" t="n">
        <v>0</v>
      </c>
      <c r="O3" s="3" t="n">
        <v>4922707.46</v>
      </c>
      <c r="P3" s="3" t="n">
        <v>28142299.15</v>
      </c>
      <c r="Q3" s="3" t="n">
        <v>731753803.57</v>
      </c>
    </row>
    <row r="4" customFormat="false" ht="15" hidden="false" customHeight="false" outlineLevel="0" collapsed="false">
      <c r="A4" s="2" t="s">
        <v>13</v>
      </c>
      <c r="B4" s="3" t="n">
        <v>0</v>
      </c>
      <c r="C4" s="3" t="n">
        <v>122656119.04</v>
      </c>
      <c r="D4" s="3" t="n">
        <v>90946668.46</v>
      </c>
      <c r="E4" s="3" t="n">
        <v>46143902</v>
      </c>
      <c r="F4" s="3" t="n">
        <v>74358066.28</v>
      </c>
      <c r="G4" s="3" t="n">
        <v>55092069.13</v>
      </c>
      <c r="H4" s="3" t="n">
        <v>69194023.25</v>
      </c>
      <c r="I4" s="3" t="n">
        <v>42225285.51</v>
      </c>
      <c r="J4" s="3" t="n">
        <v>36823239.08</v>
      </c>
      <c r="K4" s="3" t="n">
        <v>24660913</v>
      </c>
      <c r="L4" s="3" t="n">
        <v>28567769.94</v>
      </c>
      <c r="M4" s="3" t="n">
        <v>12575296.87</v>
      </c>
      <c r="N4" s="3" t="n">
        <v>0</v>
      </c>
      <c r="O4" s="3" t="n">
        <v>6947458.34</v>
      </c>
      <c r="P4" s="3" t="n">
        <v>28661430.6</v>
      </c>
      <c r="Q4" s="3" t="n">
        <v>711351860.09</v>
      </c>
    </row>
    <row r="5" customFormat="false" ht="15" hidden="false" customHeight="false" outlineLevel="0" collapsed="false">
      <c r="A5" s="2" t="s">
        <v>14</v>
      </c>
      <c r="B5" s="3" t="n">
        <v>0</v>
      </c>
      <c r="C5" s="3" t="n">
        <v>85943095.86</v>
      </c>
      <c r="D5" s="3" t="n">
        <v>69366660.81</v>
      </c>
      <c r="E5" s="3" t="n">
        <v>40061762.25</v>
      </c>
      <c r="F5" s="3" t="n">
        <v>52965799.82</v>
      </c>
      <c r="G5" s="3" t="n">
        <v>53510048.29</v>
      </c>
      <c r="H5" s="3" t="n">
        <v>78487662.36</v>
      </c>
      <c r="I5" s="3" t="n">
        <v>28301420.57</v>
      </c>
      <c r="J5" s="3" t="n">
        <v>30072075.42</v>
      </c>
      <c r="K5" s="3" t="n">
        <v>5235332.25</v>
      </c>
      <c r="L5" s="3" t="n">
        <v>25340135.03</v>
      </c>
      <c r="M5" s="3" t="n">
        <v>3217074.99</v>
      </c>
      <c r="N5" s="3" t="n">
        <v>0</v>
      </c>
      <c r="O5" s="3" t="n">
        <v>2764328.93</v>
      </c>
      <c r="P5" s="3" t="n">
        <v>31746356.42</v>
      </c>
      <c r="Q5" s="3" t="n">
        <v>566255959.17</v>
      </c>
    </row>
    <row r="6" customFormat="false" ht="15" hidden="false" customHeight="false" outlineLevel="0" collapsed="false">
      <c r="A6" s="2" t="s">
        <v>15</v>
      </c>
      <c r="B6" s="3" t="n">
        <v>0</v>
      </c>
      <c r="C6" s="3" t="n">
        <v>59291108.44</v>
      </c>
      <c r="D6" s="3" t="n">
        <v>48257303.34</v>
      </c>
      <c r="E6" s="3" t="n">
        <v>37330040.75</v>
      </c>
      <c r="F6" s="3" t="n">
        <v>53502420.91</v>
      </c>
      <c r="G6" s="3" t="n">
        <v>43588661.9</v>
      </c>
      <c r="H6" s="3" t="n">
        <v>63848678.45</v>
      </c>
      <c r="I6" s="3" t="n">
        <v>27528020.53</v>
      </c>
      <c r="J6" s="3" t="n">
        <v>18957411.19</v>
      </c>
      <c r="K6" s="3" t="n">
        <v>13794640.27</v>
      </c>
      <c r="L6" s="3" t="n">
        <v>45483285.5</v>
      </c>
      <c r="M6" s="3" t="n">
        <v>1203580.44</v>
      </c>
      <c r="N6" s="3" t="n">
        <v>0</v>
      </c>
      <c r="O6" s="3" t="n">
        <v>1317401.02</v>
      </c>
      <c r="P6" s="3" t="n">
        <v>14016288.8</v>
      </c>
      <c r="Q6" s="3" t="n">
        <v>471635428.84</v>
      </c>
    </row>
    <row r="7" customFormat="false" ht="15" hidden="false" customHeight="false" outlineLevel="0" collapsed="false">
      <c r="A7" s="2" t="s">
        <v>16</v>
      </c>
      <c r="B7" s="3" t="n">
        <v>0</v>
      </c>
      <c r="C7" s="3" t="n">
        <v>119379666.34</v>
      </c>
      <c r="D7" s="3" t="n">
        <v>77102582.57</v>
      </c>
      <c r="E7" s="3" t="n">
        <v>36823607.39</v>
      </c>
      <c r="F7" s="3" t="n">
        <v>116629069.14</v>
      </c>
      <c r="G7" s="3" t="n">
        <v>73030788.58</v>
      </c>
      <c r="H7" s="3" t="n">
        <v>59085242.23</v>
      </c>
      <c r="I7" s="3" t="n">
        <v>32208135</v>
      </c>
      <c r="J7" s="3" t="n">
        <v>45268522.9</v>
      </c>
      <c r="K7" s="3" t="n">
        <v>60937905.39</v>
      </c>
      <c r="L7" s="3" t="n">
        <v>16267941.08</v>
      </c>
      <c r="M7" s="3" t="n">
        <v>33658788.64</v>
      </c>
      <c r="N7" s="3" t="n">
        <v>0</v>
      </c>
      <c r="O7" s="3" t="n">
        <v>2310983.99</v>
      </c>
      <c r="P7" s="3" t="n">
        <v>36042830.53</v>
      </c>
      <c r="Q7" s="3" t="n">
        <v>778726573.74</v>
      </c>
    </row>
    <row r="8" customFormat="false" ht="15" hidden="false" customHeight="false" outlineLevel="0" collapsed="false">
      <c r="A8" s="2" t="s">
        <v>17</v>
      </c>
      <c r="B8" s="3" t="n">
        <v>0</v>
      </c>
      <c r="C8" s="3" t="n">
        <v>60308962.2</v>
      </c>
      <c r="D8" s="3" t="n">
        <v>11681202.41</v>
      </c>
      <c r="E8" s="3" t="n">
        <v>22029001.94</v>
      </c>
      <c r="F8" s="3" t="n">
        <v>90762527.85</v>
      </c>
      <c r="G8" s="3" t="n">
        <v>60227278.06</v>
      </c>
      <c r="H8" s="3" t="n">
        <v>23248414.97</v>
      </c>
      <c r="I8" s="3" t="n">
        <v>16419988.93</v>
      </c>
      <c r="J8" s="3" t="n">
        <v>34937551.06</v>
      </c>
      <c r="K8" s="3" t="n">
        <v>136336377.22</v>
      </c>
      <c r="L8" s="3" t="n">
        <v>77911144.68</v>
      </c>
      <c r="M8" s="3" t="n">
        <v>6121703.46</v>
      </c>
      <c r="N8" s="3" t="n">
        <v>0</v>
      </c>
      <c r="O8" s="3" t="n">
        <v>3899624.26</v>
      </c>
      <c r="P8" s="3" t="n">
        <v>7205344.7</v>
      </c>
      <c r="Q8" s="3" t="n">
        <v>597471201.4</v>
      </c>
    </row>
    <row r="9" customFormat="false" ht="15" hidden="false" customHeight="false" outlineLevel="0" collapsed="false">
      <c r="A9" s="2" t="s">
        <v>18</v>
      </c>
      <c r="B9" s="3" t="n">
        <v>0</v>
      </c>
      <c r="C9" s="3" t="n">
        <v>74749998.47</v>
      </c>
      <c r="D9" s="3" t="n">
        <v>12431608.39</v>
      </c>
      <c r="E9" s="3" t="n">
        <v>42885210.62</v>
      </c>
      <c r="F9" s="3" t="n">
        <v>88875757.29</v>
      </c>
      <c r="G9" s="3" t="n">
        <v>61591677.62</v>
      </c>
      <c r="H9" s="3" t="n">
        <v>14455131.17</v>
      </c>
      <c r="I9" s="3" t="n">
        <v>33598206.15</v>
      </c>
      <c r="J9" s="3" t="n">
        <v>35109838.78</v>
      </c>
      <c r="K9" s="3" t="n">
        <v>11817118.57</v>
      </c>
      <c r="L9" s="3" t="n">
        <v>29839342.35</v>
      </c>
      <c r="M9" s="3" t="n">
        <v>3791152.14</v>
      </c>
      <c r="N9" s="3" t="n">
        <v>0</v>
      </c>
      <c r="O9" s="3" t="n">
        <v>1850823.99</v>
      </c>
      <c r="P9" s="3" t="n">
        <v>12494807.09</v>
      </c>
      <c r="Q9" s="3" t="n">
        <v>467579094.36</v>
      </c>
    </row>
    <row r="10" customFormat="false" ht="15" hidden="false" customHeight="false" outlineLevel="0" collapsed="false">
      <c r="A10" s="2" t="s">
        <v>19</v>
      </c>
      <c r="B10" s="3" t="n">
        <v>0</v>
      </c>
      <c r="C10" s="3" t="n">
        <v>83077356.27</v>
      </c>
      <c r="D10" s="3" t="n">
        <v>109536180.5</v>
      </c>
      <c r="E10" s="3" t="n">
        <v>33460474.99</v>
      </c>
      <c r="F10" s="3" t="n">
        <v>52261639.64</v>
      </c>
      <c r="G10" s="3" t="n">
        <v>58594630.69</v>
      </c>
      <c r="H10" s="3" t="n">
        <v>13453560.76</v>
      </c>
      <c r="I10" s="3" t="n">
        <v>21816154.16</v>
      </c>
      <c r="J10" s="3" t="n">
        <v>27345460.45</v>
      </c>
      <c r="K10" s="3" t="n">
        <v>45320384.04</v>
      </c>
      <c r="L10" s="3" t="n">
        <v>8872230.41</v>
      </c>
      <c r="M10" s="3" t="n">
        <v>3054398.4</v>
      </c>
      <c r="N10" s="3" t="n">
        <v>0</v>
      </c>
      <c r="O10" s="3" t="n">
        <v>19194498.61</v>
      </c>
      <c r="P10" s="3" t="n">
        <v>10997942.05</v>
      </c>
      <c r="Q10" s="3" t="n">
        <v>528015985.23</v>
      </c>
    </row>
    <row r="11" customFormat="false" ht="15" hidden="false" customHeight="false" outlineLevel="0" collapsed="false">
      <c r="A11" s="2" t="s">
        <v>20</v>
      </c>
      <c r="B11" s="3" t="n">
        <v>0</v>
      </c>
      <c r="C11" s="3" t="n">
        <v>83229414.08</v>
      </c>
      <c r="D11" s="3" t="n">
        <v>45551096.33</v>
      </c>
      <c r="E11" s="3" t="n">
        <v>22119077.31</v>
      </c>
      <c r="F11" s="3" t="n">
        <v>48566268.47</v>
      </c>
      <c r="G11" s="3" t="n">
        <v>38924858.98</v>
      </c>
      <c r="H11" s="3" t="n">
        <v>13856469.36</v>
      </c>
      <c r="I11" s="3" t="n">
        <v>18407456</v>
      </c>
      <c r="J11" s="3" t="n">
        <v>5755065.97</v>
      </c>
      <c r="K11" s="3" t="n">
        <v>7110029.38</v>
      </c>
      <c r="L11" s="3" t="n">
        <v>5462494.77</v>
      </c>
      <c r="M11" s="3" t="n">
        <v>11923303.44</v>
      </c>
      <c r="N11" s="3" t="n">
        <v>0</v>
      </c>
      <c r="O11" s="3" t="n">
        <v>2827815.47</v>
      </c>
      <c r="P11" s="3" t="n">
        <v>7203413.09</v>
      </c>
      <c r="Q11" s="3" t="n">
        <v>335705118.15</v>
      </c>
    </row>
    <row r="12" customFormat="false" ht="15" hidden="false" customHeight="false" outlineLevel="0" collapsed="false">
      <c r="A12" s="2" t="s">
        <v>21</v>
      </c>
      <c r="B12" s="3" t="n">
        <v>0</v>
      </c>
      <c r="C12" s="3" t="n">
        <v>60777013.8</v>
      </c>
      <c r="D12" s="3" t="n">
        <v>52335286.95</v>
      </c>
      <c r="E12" s="3" t="n">
        <v>29641391.01</v>
      </c>
      <c r="F12" s="3" t="n">
        <v>33354892.45</v>
      </c>
      <c r="G12" s="3" t="n">
        <v>37678504.88</v>
      </c>
      <c r="H12" s="3" t="n">
        <v>61881624.14</v>
      </c>
      <c r="I12" s="3" t="n">
        <v>17628449.73</v>
      </c>
      <c r="J12" s="3" t="n">
        <v>14862924.82</v>
      </c>
      <c r="K12" s="3" t="n">
        <v>5143856.67</v>
      </c>
      <c r="L12" s="3" t="n">
        <v>13874735.64</v>
      </c>
      <c r="M12" s="3" t="n">
        <v>1191146.29</v>
      </c>
      <c r="N12" s="3" t="n">
        <v>0</v>
      </c>
      <c r="O12" s="3" t="n">
        <v>818859.15</v>
      </c>
      <c r="P12" s="3" t="n">
        <v>16286271.44</v>
      </c>
      <c r="Q12" s="3" t="n">
        <v>387915092.47</v>
      </c>
    </row>
    <row r="13" customFormat="false" ht="15" hidden="false" customHeight="false" outlineLevel="0" collapsed="false">
      <c r="A13" s="2" t="s">
        <v>22</v>
      </c>
      <c r="B13" s="3" t="n">
        <v>0</v>
      </c>
      <c r="C13" s="3" t="n">
        <v>54502410.26</v>
      </c>
      <c r="D13" s="3" t="n">
        <v>39737755.47</v>
      </c>
      <c r="E13" s="3" t="n">
        <v>34535547.83</v>
      </c>
      <c r="F13" s="3" t="n">
        <v>44929772.73</v>
      </c>
      <c r="G13" s="3" t="n">
        <v>30661989.75</v>
      </c>
      <c r="H13" s="3" t="n">
        <v>62484602.88</v>
      </c>
      <c r="I13" s="3" t="n">
        <v>19454449.61</v>
      </c>
      <c r="J13" s="3" t="n">
        <v>22309655.93</v>
      </c>
      <c r="K13" s="3" t="n">
        <v>50104469.48</v>
      </c>
      <c r="L13" s="3" t="n">
        <v>128832908.72</v>
      </c>
      <c r="M13" s="3" t="n">
        <v>1589427.9</v>
      </c>
      <c r="N13" s="3" t="n">
        <v>0</v>
      </c>
      <c r="O13" s="3" t="n">
        <v>275901.69</v>
      </c>
      <c r="P13" s="3" t="n">
        <v>29180971.01</v>
      </c>
      <c r="Q13" s="3" t="n">
        <v>553719743.32</v>
      </c>
    </row>
    <row r="14" customFormat="false" ht="15" hidden="false" customHeight="false" outlineLevel="0" collapsed="false">
      <c r="A14" s="2" t="s">
        <v>23</v>
      </c>
      <c r="B14" s="3" t="n">
        <v>0</v>
      </c>
      <c r="C14" s="3" t="n">
        <v>141568758.34</v>
      </c>
      <c r="D14" s="3" t="n">
        <v>100644741.06</v>
      </c>
      <c r="E14" s="3" t="n">
        <v>43634512.81</v>
      </c>
      <c r="F14" s="3" t="n">
        <v>82399856.95</v>
      </c>
      <c r="G14" s="3" t="n">
        <v>54966501.74</v>
      </c>
      <c r="H14" s="3" t="n">
        <v>58607430.38</v>
      </c>
      <c r="I14" s="3" t="n">
        <v>36320873.8</v>
      </c>
      <c r="J14" s="3" t="n">
        <v>52947656.63</v>
      </c>
      <c r="K14" s="3" t="n">
        <v>65327183.59</v>
      </c>
      <c r="L14" s="3" t="n">
        <v>383141985.45</v>
      </c>
      <c r="M14" s="3" t="n">
        <v>10684068.59</v>
      </c>
      <c r="N14" s="3" t="n">
        <v>0</v>
      </c>
      <c r="O14" s="3" t="n">
        <v>3204181.24</v>
      </c>
      <c r="P14" s="3" t="n">
        <v>19990165.92</v>
      </c>
      <c r="Q14" s="3" t="n">
        <v>1114231300.55</v>
      </c>
    </row>
    <row r="15" customFormat="false" ht="15" hidden="false" customHeight="false" outlineLevel="0" collapsed="false">
      <c r="A15" s="2" t="s">
        <v>24</v>
      </c>
      <c r="B15" s="3" t="n">
        <v>0</v>
      </c>
      <c r="C15" s="3" t="n">
        <v>102962795.55</v>
      </c>
      <c r="D15" s="3" t="n">
        <v>87596030.26</v>
      </c>
      <c r="E15" s="3" t="n">
        <v>41417010.93</v>
      </c>
      <c r="F15" s="3" t="n">
        <v>88791922.41</v>
      </c>
      <c r="G15" s="3" t="n">
        <v>43457714.04</v>
      </c>
      <c r="H15" s="3" t="n">
        <v>61427699.6</v>
      </c>
      <c r="I15" s="3" t="n">
        <v>40929106.87</v>
      </c>
      <c r="J15" s="3" t="n">
        <v>32981133.27</v>
      </c>
      <c r="K15" s="3" t="n">
        <v>58181384.12</v>
      </c>
      <c r="L15" s="3" t="n">
        <v>18176678.61</v>
      </c>
      <c r="M15" s="3" t="n">
        <v>6404801.16</v>
      </c>
      <c r="N15" s="3" t="n">
        <v>0</v>
      </c>
      <c r="O15" s="3" t="n">
        <v>4785370.31</v>
      </c>
      <c r="P15" s="3" t="n">
        <v>20644546.89</v>
      </c>
      <c r="Q15" s="3" t="n">
        <v>667183077.65</v>
      </c>
    </row>
    <row r="16" customFormat="false" ht="15" hidden="false" customHeight="false" outlineLevel="0" collapsed="false">
      <c r="A16" s="2" t="s">
        <v>25</v>
      </c>
      <c r="B16" s="3" t="n">
        <v>0</v>
      </c>
      <c r="C16" s="3" t="n">
        <v>107336789.31</v>
      </c>
      <c r="D16" s="3" t="n">
        <v>75073050.41</v>
      </c>
      <c r="E16" s="3" t="n">
        <v>35124108.85</v>
      </c>
      <c r="F16" s="3" t="n">
        <v>60186341.97</v>
      </c>
      <c r="G16" s="3" t="n">
        <v>47867590.56</v>
      </c>
      <c r="H16" s="3" t="n">
        <v>31963372.43</v>
      </c>
      <c r="I16" s="3" t="n">
        <v>34092670.27</v>
      </c>
      <c r="J16" s="3" t="n">
        <v>32689007.36</v>
      </c>
      <c r="K16" s="3" t="n">
        <v>75786806.53</v>
      </c>
      <c r="L16" s="3" t="n">
        <v>18095310.49</v>
      </c>
      <c r="M16" s="3" t="n">
        <v>3307206.32</v>
      </c>
      <c r="N16" s="3" t="n">
        <v>0</v>
      </c>
      <c r="O16" s="3" t="n">
        <v>2110862.48</v>
      </c>
      <c r="P16" s="3" t="n">
        <v>23983161.03</v>
      </c>
      <c r="Q16" s="3" t="n">
        <v>601349995.34</v>
      </c>
    </row>
    <row r="17" customFormat="false" ht="15" hidden="false" customHeight="false" outlineLevel="0" collapsed="false">
      <c r="A17" s="2" t="s">
        <v>26</v>
      </c>
      <c r="B17" s="3" t="n">
        <v>0</v>
      </c>
      <c r="C17" s="3" t="n">
        <v>89175275.3</v>
      </c>
      <c r="D17" s="3" t="n">
        <v>69258175.84</v>
      </c>
      <c r="E17" s="3" t="n">
        <v>22842191.22</v>
      </c>
      <c r="F17" s="3" t="n">
        <v>63612215.53</v>
      </c>
      <c r="G17" s="3" t="n">
        <v>45059630.39</v>
      </c>
      <c r="H17" s="3" t="n">
        <v>58776315.98</v>
      </c>
      <c r="I17" s="3" t="n">
        <v>28463411.83</v>
      </c>
      <c r="J17" s="3" t="n">
        <v>15249514.68</v>
      </c>
      <c r="K17" s="3" t="n">
        <v>98378570.13</v>
      </c>
      <c r="L17" s="3" t="n">
        <v>5690731.37</v>
      </c>
      <c r="M17" s="3" t="n">
        <v>2842618.48</v>
      </c>
      <c r="N17" s="3" t="n">
        <v>0</v>
      </c>
      <c r="O17" s="3" t="n">
        <v>3272744.29</v>
      </c>
      <c r="P17" s="3" t="n">
        <v>16259102.13</v>
      </c>
      <c r="Q17" s="3" t="n">
        <v>577106677.41</v>
      </c>
    </row>
    <row r="18" customFormat="false" ht="15" hidden="false" customHeight="false" outlineLevel="0" collapsed="false">
      <c r="A18" s="2" t="s">
        <v>27</v>
      </c>
      <c r="B18" s="3" t="n">
        <v>0</v>
      </c>
      <c r="C18" s="3" t="n">
        <v>122824870.3</v>
      </c>
      <c r="D18" s="3" t="n">
        <v>105058809.75</v>
      </c>
      <c r="E18" s="3" t="n">
        <v>33272665.58</v>
      </c>
      <c r="F18" s="3" t="n">
        <v>85389493.6</v>
      </c>
      <c r="G18" s="3" t="n">
        <v>50882804.88</v>
      </c>
      <c r="H18" s="3" t="n">
        <v>79448053.73</v>
      </c>
      <c r="I18" s="3" t="n">
        <v>45073895.26</v>
      </c>
      <c r="J18" s="3" t="n">
        <v>50729343.54</v>
      </c>
      <c r="K18" s="3" t="n">
        <v>75082559.23</v>
      </c>
      <c r="L18" s="3" t="n">
        <v>44722508.99</v>
      </c>
      <c r="M18" s="3" t="n">
        <v>2573790.76</v>
      </c>
      <c r="N18" s="3" t="n">
        <v>0</v>
      </c>
      <c r="O18" s="3" t="n">
        <v>6873175.35</v>
      </c>
      <c r="P18" s="3" t="n">
        <v>11460981.23</v>
      </c>
      <c r="Q18" s="3" t="n">
        <v>784486292.07</v>
      </c>
    </row>
    <row r="19" customFormat="false" ht="15" hidden="false" customHeight="false" outlineLevel="0" collapsed="false">
      <c r="A19" s="2" t="s">
        <v>28</v>
      </c>
      <c r="B19" s="3" t="n">
        <v>0</v>
      </c>
      <c r="C19" s="3" t="n">
        <v>327353553.83</v>
      </c>
      <c r="D19" s="3" t="n">
        <v>241203911.75</v>
      </c>
      <c r="E19" s="3" t="n">
        <v>51288803.48</v>
      </c>
      <c r="F19" s="3" t="n">
        <v>239387926.98</v>
      </c>
      <c r="G19" s="3" t="n">
        <v>78480927.53</v>
      </c>
      <c r="H19" s="3" t="n">
        <v>78302987.11</v>
      </c>
      <c r="I19" s="3" t="n">
        <v>148284999.77</v>
      </c>
      <c r="J19" s="3" t="n">
        <v>45050289.87</v>
      </c>
      <c r="K19" s="3" t="n">
        <v>8235959.12</v>
      </c>
      <c r="L19" s="3" t="n">
        <v>60237441.82</v>
      </c>
      <c r="M19" s="3" t="n">
        <v>5804238.92</v>
      </c>
      <c r="N19" s="3" t="n">
        <v>0</v>
      </c>
      <c r="O19" s="3" t="n">
        <v>4821552.57</v>
      </c>
      <c r="P19" s="3" t="n">
        <v>10321199.73</v>
      </c>
      <c r="Q19" s="3" t="n">
        <v>1377165225.36</v>
      </c>
    </row>
    <row r="20" customFormat="false" ht="15" hidden="false" customHeight="false" outlineLevel="0" collapsed="false">
      <c r="A20" s="2" t="s">
        <v>29</v>
      </c>
      <c r="B20" s="3" t="n">
        <v>0</v>
      </c>
      <c r="C20" s="3" t="n">
        <v>673811211.03</v>
      </c>
      <c r="D20" s="3" t="n">
        <v>329634180.89</v>
      </c>
      <c r="E20" s="3" t="n">
        <v>70942638.78</v>
      </c>
      <c r="F20" s="3" t="n">
        <v>291779144.2</v>
      </c>
      <c r="G20" s="3" t="n">
        <v>81661638.59</v>
      </c>
      <c r="H20" s="3" t="n">
        <v>75273526.86</v>
      </c>
      <c r="I20" s="3" t="n">
        <v>189567051.62</v>
      </c>
      <c r="J20" s="3" t="n">
        <v>68574588.42</v>
      </c>
      <c r="K20" s="3" t="n">
        <v>74062426.01</v>
      </c>
      <c r="L20" s="3" t="n">
        <v>20984973.45</v>
      </c>
      <c r="M20" s="3" t="n">
        <v>4527608.13</v>
      </c>
      <c r="N20" s="3" t="n">
        <v>0</v>
      </c>
      <c r="O20" s="3" t="n">
        <v>3560665.42</v>
      </c>
      <c r="P20" s="3" t="n">
        <v>10219399.48</v>
      </c>
      <c r="Q20" s="3" t="n">
        <v>1972085703.58</v>
      </c>
    </row>
    <row r="21" customFormat="false" ht="15" hidden="false" customHeight="false" outlineLevel="0" collapsed="false">
      <c r="A21" s="2" t="s">
        <v>30</v>
      </c>
      <c r="B21" s="3" t="n">
        <v>0</v>
      </c>
      <c r="C21" s="3" t="n">
        <v>538017529.57</v>
      </c>
      <c r="D21" s="3" t="n">
        <v>251369381.59</v>
      </c>
      <c r="E21" s="3" t="n">
        <v>75191016.09</v>
      </c>
      <c r="F21" s="3" t="n">
        <v>180757211.38</v>
      </c>
      <c r="G21" s="3" t="n">
        <v>77274601.24</v>
      </c>
      <c r="H21" s="3" t="n">
        <v>50290086.19</v>
      </c>
      <c r="I21" s="3" t="n">
        <v>133871762.53</v>
      </c>
      <c r="J21" s="3" t="n">
        <v>71265267.14</v>
      </c>
      <c r="K21" s="3" t="n">
        <v>63507517.87</v>
      </c>
      <c r="L21" s="3" t="n">
        <v>65840435.6</v>
      </c>
      <c r="M21" s="3" t="n">
        <v>18009123.36</v>
      </c>
      <c r="N21" s="3" t="n">
        <v>0</v>
      </c>
      <c r="O21" s="3" t="n">
        <v>9931070.49</v>
      </c>
      <c r="P21" s="3" t="n">
        <v>11177477.8</v>
      </c>
      <c r="Q21" s="3" t="n">
        <v>1630645901.88</v>
      </c>
    </row>
    <row r="22" customFormat="false" ht="15" hidden="false" customHeight="false" outlineLevel="0" collapsed="false">
      <c r="A22" s="2" t="s">
        <v>31</v>
      </c>
      <c r="B22" s="3" t="n">
        <v>0</v>
      </c>
      <c r="C22" s="3" t="n">
        <v>183795890.84</v>
      </c>
      <c r="D22" s="3" t="n">
        <v>168651519.53</v>
      </c>
      <c r="E22" s="3" t="n">
        <v>35946698.72</v>
      </c>
      <c r="F22" s="3" t="n">
        <v>131319344.84</v>
      </c>
      <c r="G22" s="3" t="n">
        <v>56797928.56</v>
      </c>
      <c r="H22" s="3" t="n">
        <v>4879845.58</v>
      </c>
      <c r="I22" s="3" t="n">
        <v>93881108.58</v>
      </c>
      <c r="J22" s="3" t="n">
        <v>47793055.54</v>
      </c>
      <c r="K22" s="3" t="n">
        <v>57881558.88</v>
      </c>
      <c r="L22" s="3" t="n">
        <v>66775246.54</v>
      </c>
      <c r="M22" s="3" t="n">
        <v>18632692.84</v>
      </c>
      <c r="N22" s="3" t="n">
        <v>0</v>
      </c>
      <c r="O22" s="3" t="n">
        <v>9915885.65</v>
      </c>
      <c r="P22" s="3" t="n">
        <v>7539413.03</v>
      </c>
      <c r="Q22" s="3" t="n">
        <v>963251038.66</v>
      </c>
    </row>
    <row r="23" customFormat="false" ht="15" hidden="false" customHeight="false" outlineLevel="0" collapsed="false">
      <c r="A23" s="2" t="s">
        <v>32</v>
      </c>
      <c r="B23" s="3" t="n">
        <v>0</v>
      </c>
      <c r="C23" s="3" t="n">
        <v>127922523.6</v>
      </c>
      <c r="D23" s="3" t="n">
        <v>107880030.41</v>
      </c>
      <c r="E23" s="3" t="n">
        <v>32236307.28</v>
      </c>
      <c r="F23" s="3" t="n">
        <v>83866827.89</v>
      </c>
      <c r="G23" s="3" t="n">
        <v>54387319.67</v>
      </c>
      <c r="H23" s="3" t="n">
        <v>1125061.36</v>
      </c>
      <c r="I23" s="3" t="n">
        <v>61982566.47</v>
      </c>
      <c r="J23" s="3" t="n">
        <v>43473934.06</v>
      </c>
      <c r="K23" s="3" t="n">
        <v>72845428.17</v>
      </c>
      <c r="L23" s="3" t="n">
        <v>9419911.08</v>
      </c>
      <c r="M23" s="3" t="n">
        <v>10911807.56</v>
      </c>
      <c r="N23" s="3" t="n">
        <v>0</v>
      </c>
      <c r="O23" s="3" t="n">
        <v>2441067.18</v>
      </c>
      <c r="P23" s="3" t="n">
        <v>4063710.3</v>
      </c>
      <c r="Q23" s="3" t="n">
        <v>727009652.12</v>
      </c>
    </row>
    <row r="24" customFormat="false" ht="15" hidden="false" customHeight="false" outlineLevel="0" collapsed="false">
      <c r="A24" s="2" t="s">
        <v>33</v>
      </c>
      <c r="B24" s="3" t="n">
        <v>0</v>
      </c>
      <c r="C24" s="3" t="n">
        <v>149125282.74</v>
      </c>
      <c r="D24" s="3" t="n">
        <v>161739441.01</v>
      </c>
      <c r="E24" s="3" t="n">
        <v>50307119.45</v>
      </c>
      <c r="F24" s="3" t="n">
        <v>101321934.71</v>
      </c>
      <c r="G24" s="3" t="n">
        <v>60028350.26</v>
      </c>
      <c r="H24" s="3" t="n">
        <v>36059520.16</v>
      </c>
      <c r="I24" s="3" t="n">
        <v>66686891.79</v>
      </c>
      <c r="J24" s="3" t="n">
        <v>34466013.96</v>
      </c>
      <c r="K24" s="3" t="n">
        <v>229229283.3</v>
      </c>
      <c r="L24" s="3" t="n">
        <v>48243712.28</v>
      </c>
      <c r="M24" s="3" t="n">
        <v>6896905.36</v>
      </c>
      <c r="N24" s="3" t="n">
        <v>0</v>
      </c>
      <c r="O24" s="3" t="n">
        <v>10376551.71</v>
      </c>
      <c r="P24" s="3" t="n">
        <v>8167539.17</v>
      </c>
      <c r="Q24" s="3" t="n">
        <v>1046261581.64</v>
      </c>
    </row>
    <row r="25" customFormat="false" ht="15" hidden="false" customHeight="false" outlineLevel="0" collapsed="false">
      <c r="A25" s="2" t="s">
        <v>34</v>
      </c>
      <c r="B25" s="3" t="n">
        <v>0</v>
      </c>
      <c r="C25" s="3" t="n">
        <v>115682112.29</v>
      </c>
      <c r="D25" s="3" t="n">
        <v>89734432.85</v>
      </c>
      <c r="E25" s="3" t="n">
        <v>33655768.47</v>
      </c>
      <c r="F25" s="3" t="n">
        <v>84814054.52</v>
      </c>
      <c r="G25" s="3" t="n">
        <v>50923558.22</v>
      </c>
      <c r="H25" s="3" t="n">
        <v>35602106.84</v>
      </c>
      <c r="I25" s="3" t="n">
        <v>48654762.46</v>
      </c>
      <c r="J25" s="3" t="n">
        <v>33523413.45</v>
      </c>
      <c r="K25" s="3" t="n">
        <v>154125648.94</v>
      </c>
      <c r="L25" s="3" t="n">
        <v>563149590.81</v>
      </c>
      <c r="M25" s="3" t="n">
        <v>4098852.05</v>
      </c>
      <c r="N25" s="3" t="n">
        <v>0</v>
      </c>
      <c r="O25" s="3" t="n">
        <v>53981446.47</v>
      </c>
      <c r="P25" s="3" t="n">
        <v>13612678.38</v>
      </c>
      <c r="Q25" s="3" t="n">
        <v>1349834400.34</v>
      </c>
    </row>
    <row r="26" customFormat="false" ht="15" hidden="false" customHeight="false" outlineLevel="0" collapsed="false">
      <c r="A26" s="2" t="s">
        <v>35</v>
      </c>
      <c r="B26" s="3" t="n">
        <v>0</v>
      </c>
      <c r="C26" s="3" t="n">
        <v>81515824.21</v>
      </c>
      <c r="D26" s="3" t="n">
        <v>72603826.96</v>
      </c>
      <c r="E26" s="3" t="n">
        <v>35215610.43</v>
      </c>
      <c r="F26" s="3" t="n">
        <v>43614576.43</v>
      </c>
      <c r="G26" s="3" t="n">
        <v>38153822.01</v>
      </c>
      <c r="H26" s="3" t="n">
        <v>42133970.8</v>
      </c>
      <c r="I26" s="3" t="n">
        <v>40882357.31</v>
      </c>
      <c r="J26" s="3" t="n">
        <v>17429580.28</v>
      </c>
      <c r="K26" s="3" t="n">
        <v>11325289.56</v>
      </c>
      <c r="L26" s="3" t="n">
        <v>22470294.86</v>
      </c>
      <c r="M26" s="3" t="n">
        <v>1148907.59</v>
      </c>
      <c r="N26" s="3" t="n">
        <v>0</v>
      </c>
      <c r="O26" s="3" t="n">
        <v>1369616.83</v>
      </c>
      <c r="P26" s="3" t="n">
        <v>10782883.14</v>
      </c>
      <c r="Q26" s="3" t="n">
        <v>455777674.14</v>
      </c>
    </row>
    <row r="27" customFormat="false" ht="15" hidden="false" customHeight="false" outlineLevel="0" collapsed="false">
      <c r="A27" s="2" t="s">
        <v>36</v>
      </c>
      <c r="B27" s="3" t="n">
        <v>0</v>
      </c>
      <c r="C27" s="3" t="n">
        <v>79121831.27</v>
      </c>
      <c r="D27" s="3" t="n">
        <v>54630567.06</v>
      </c>
      <c r="E27" s="3" t="n">
        <v>41007860.29</v>
      </c>
      <c r="F27" s="3" t="n">
        <v>58928554.44</v>
      </c>
      <c r="G27" s="3" t="n">
        <v>43422466.6</v>
      </c>
      <c r="H27" s="3" t="n">
        <v>49839457.94</v>
      </c>
      <c r="I27" s="3" t="n">
        <v>40348681.16</v>
      </c>
      <c r="J27" s="3" t="n">
        <v>22040495.98</v>
      </c>
      <c r="K27" s="3" t="n">
        <v>4022113.81</v>
      </c>
      <c r="L27" s="3" t="n">
        <v>4406556.67</v>
      </c>
      <c r="M27" s="3" t="n">
        <v>4196104.54</v>
      </c>
      <c r="N27" s="3" t="n">
        <v>0</v>
      </c>
      <c r="O27" s="3" t="n">
        <v>1288948.09</v>
      </c>
      <c r="P27" s="3" t="n">
        <v>11366184.39</v>
      </c>
      <c r="Q27" s="3" t="n">
        <v>461771883.31</v>
      </c>
    </row>
    <row r="28" customFormat="false" ht="15" hidden="false" customHeight="false" outlineLevel="0" collapsed="false">
      <c r="A28" s="2" t="s">
        <v>37</v>
      </c>
      <c r="B28" s="3" t="n">
        <v>0</v>
      </c>
      <c r="C28" s="3" t="n">
        <v>169761798.85</v>
      </c>
      <c r="D28" s="3" t="n">
        <v>209198095.28</v>
      </c>
      <c r="E28" s="3" t="n">
        <v>50344167.09</v>
      </c>
      <c r="F28" s="3" t="n">
        <v>94219050.7</v>
      </c>
      <c r="G28" s="3" t="n">
        <v>55828606.02</v>
      </c>
      <c r="H28" s="3" t="n">
        <v>40765533.7</v>
      </c>
      <c r="I28" s="3" t="n">
        <v>66003026.96</v>
      </c>
      <c r="J28" s="3" t="n">
        <v>69546809</v>
      </c>
      <c r="K28" s="3" t="n">
        <v>57909522.45</v>
      </c>
      <c r="L28" s="3" t="n">
        <v>96836965.58</v>
      </c>
      <c r="M28" s="3" t="n">
        <v>17936815.12</v>
      </c>
      <c r="N28" s="3" t="n">
        <v>0</v>
      </c>
      <c r="O28" s="3" t="n">
        <v>4196632.21</v>
      </c>
      <c r="P28" s="3" t="n">
        <v>10665542.59</v>
      </c>
      <c r="Q28" s="3" t="n">
        <v>995600634.72</v>
      </c>
    </row>
    <row r="29" customFormat="false" ht="15" hidden="false" customHeight="false" outlineLevel="0" collapsed="false">
      <c r="A29" s="2" t="s">
        <v>38</v>
      </c>
      <c r="B29" s="3" t="n">
        <v>0</v>
      </c>
      <c r="C29" s="3" t="n">
        <v>114133259.85</v>
      </c>
      <c r="D29" s="3" t="n">
        <v>96599602.21</v>
      </c>
      <c r="E29" s="3" t="n">
        <v>31353944.98</v>
      </c>
      <c r="F29" s="3" t="n">
        <v>76418111.71</v>
      </c>
      <c r="G29" s="3" t="n">
        <v>48280844.66</v>
      </c>
      <c r="H29" s="3" t="n">
        <v>997399.93</v>
      </c>
      <c r="I29" s="3" t="n">
        <v>49638378.26</v>
      </c>
      <c r="J29" s="3" t="n">
        <v>27509127.73</v>
      </c>
      <c r="K29" s="3" t="n">
        <v>81539582.09</v>
      </c>
      <c r="L29" s="3" t="n">
        <v>52257.5</v>
      </c>
      <c r="M29" s="3" t="n">
        <v>13540913.17</v>
      </c>
      <c r="N29" s="3" t="n">
        <v>0</v>
      </c>
      <c r="O29" s="3" t="n">
        <v>1929900.83</v>
      </c>
      <c r="P29" s="3" t="n">
        <v>11097444.62</v>
      </c>
      <c r="Q29" s="3" t="n">
        <v>614162145.36</v>
      </c>
    </row>
    <row r="30" customFormat="false" ht="15" hidden="false" customHeight="false" outlineLevel="0" collapsed="false">
      <c r="A30" s="2" t="s">
        <v>39</v>
      </c>
      <c r="B30" s="3" t="n">
        <v>0</v>
      </c>
      <c r="C30" s="3" t="n">
        <v>98853407.85</v>
      </c>
      <c r="D30" s="3" t="n">
        <v>59009671.57</v>
      </c>
      <c r="E30" s="3" t="n">
        <v>33883707.13</v>
      </c>
      <c r="F30" s="3" t="n">
        <v>75030844.55</v>
      </c>
      <c r="G30" s="3" t="n">
        <v>36286564.31</v>
      </c>
      <c r="H30" s="3" t="n">
        <v>36450292.68</v>
      </c>
      <c r="I30" s="3" t="n">
        <v>35171336.54</v>
      </c>
      <c r="J30" s="3" t="n">
        <v>28766193.98</v>
      </c>
      <c r="K30" s="3" t="n">
        <v>3035734.18</v>
      </c>
      <c r="L30" s="3" t="n">
        <v>2500093.06</v>
      </c>
      <c r="M30" s="3" t="n">
        <v>2231920.27</v>
      </c>
      <c r="N30" s="3" t="n">
        <v>0</v>
      </c>
      <c r="O30" s="3" t="n">
        <v>3704257.6</v>
      </c>
      <c r="P30" s="3" t="n">
        <v>12961063.19</v>
      </c>
      <c r="Q30" s="3" t="n">
        <v>473724608.91</v>
      </c>
    </row>
    <row r="31" customFormat="false" ht="15" hidden="false" customHeight="false" outlineLevel="0" collapsed="false">
      <c r="A31" s="2" t="s">
        <v>40</v>
      </c>
      <c r="B31" s="3" t="n">
        <v>0</v>
      </c>
      <c r="C31" s="3" t="n">
        <v>121173228.04</v>
      </c>
      <c r="D31" s="3" t="n">
        <v>112381245.59</v>
      </c>
      <c r="E31" s="3" t="n">
        <v>44378877.7</v>
      </c>
      <c r="F31" s="3" t="n">
        <v>93179678.48</v>
      </c>
      <c r="G31" s="3" t="n">
        <v>40506736.94</v>
      </c>
      <c r="H31" s="3" t="n">
        <v>43381760.22</v>
      </c>
      <c r="I31" s="3" t="n">
        <v>45968549.36</v>
      </c>
      <c r="J31" s="3" t="n">
        <v>32273193.74</v>
      </c>
      <c r="K31" s="3" t="n">
        <v>13851207.71</v>
      </c>
      <c r="L31" s="3" t="n">
        <v>5087208.49</v>
      </c>
      <c r="M31" s="3" t="n">
        <v>3602579.52</v>
      </c>
      <c r="N31" s="3" t="n">
        <v>0</v>
      </c>
      <c r="O31" s="3" t="n">
        <v>3675811.61</v>
      </c>
      <c r="P31" s="3" t="n">
        <v>9847123.32</v>
      </c>
      <c r="Q31" s="3" t="n">
        <v>628333717.29</v>
      </c>
    </row>
    <row r="32" customFormat="false" ht="15" hidden="false" customHeight="false" outlineLevel="0" collapsed="false">
      <c r="A32" s="2" t="s">
        <v>41</v>
      </c>
      <c r="B32" s="3" t="n">
        <v>0</v>
      </c>
      <c r="C32" s="3" t="n">
        <v>125470065.87</v>
      </c>
      <c r="D32" s="3" t="n">
        <v>94212256.8</v>
      </c>
      <c r="E32" s="3" t="n">
        <v>32560527.65</v>
      </c>
      <c r="F32" s="3" t="n">
        <v>59292999.66</v>
      </c>
      <c r="G32" s="3" t="n">
        <v>39965349.84</v>
      </c>
      <c r="H32" s="3" t="n">
        <v>47444975.01</v>
      </c>
      <c r="I32" s="3" t="n">
        <v>44024399.62</v>
      </c>
      <c r="J32" s="3" t="n">
        <v>21801514.77</v>
      </c>
      <c r="K32" s="3" t="n">
        <v>57444979.96</v>
      </c>
      <c r="L32" s="3" t="n">
        <v>4445605.01</v>
      </c>
      <c r="M32" s="3" t="n">
        <v>4167894.82</v>
      </c>
      <c r="N32" s="3" t="n">
        <v>0</v>
      </c>
      <c r="O32" s="3" t="n">
        <v>11726952.93</v>
      </c>
      <c r="P32" s="3" t="n">
        <v>16367723.1</v>
      </c>
      <c r="Q32" s="3" t="n">
        <v>618117612.53</v>
      </c>
    </row>
    <row r="33" customFormat="false" ht="15" hidden="false" customHeight="false" outlineLevel="0" collapsed="false">
      <c r="A33" s="2" t="s">
        <v>42</v>
      </c>
      <c r="B33" s="3" t="n">
        <v>3101.6</v>
      </c>
      <c r="C33" s="3" t="n">
        <v>112172215.15</v>
      </c>
      <c r="D33" s="3" t="n">
        <v>92900102.58</v>
      </c>
      <c r="E33" s="3" t="n">
        <v>30083715.59</v>
      </c>
      <c r="F33" s="3" t="n">
        <v>46458501.94</v>
      </c>
      <c r="G33" s="3" t="n">
        <v>35966750.31</v>
      </c>
      <c r="H33" s="3" t="n">
        <v>34443205.42</v>
      </c>
      <c r="I33" s="3" t="n">
        <v>32288178.54</v>
      </c>
      <c r="J33" s="3" t="n">
        <v>30431082.11</v>
      </c>
      <c r="K33" s="3" t="n">
        <v>1317469.18</v>
      </c>
      <c r="L33" s="3" t="n">
        <v>2585757.11</v>
      </c>
      <c r="M33" s="3" t="n">
        <v>3961515.85</v>
      </c>
      <c r="N33" s="3" t="n">
        <v>0</v>
      </c>
      <c r="O33" s="3" t="n">
        <v>1545596.95</v>
      </c>
      <c r="P33" s="3" t="n">
        <v>10922434.63</v>
      </c>
      <c r="Q33" s="3" t="n">
        <v>474660575.58</v>
      </c>
    </row>
    <row r="34" customFormat="false" ht="15" hidden="false" customHeight="false" outlineLevel="0" collapsed="false">
      <c r="A34" s="2" t="s">
        <v>43</v>
      </c>
      <c r="B34" s="3" t="n">
        <v>3609.94</v>
      </c>
      <c r="C34" s="3" t="n">
        <v>143417181.57</v>
      </c>
      <c r="D34" s="3" t="n">
        <v>131498628.4</v>
      </c>
      <c r="E34" s="3" t="n">
        <v>48322308.75</v>
      </c>
      <c r="F34" s="3" t="n">
        <v>71120855.08</v>
      </c>
      <c r="G34" s="3" t="n">
        <v>53299311.18</v>
      </c>
      <c r="H34" s="3" t="n">
        <v>1119681.05</v>
      </c>
      <c r="I34" s="3" t="n">
        <v>38699391.4</v>
      </c>
      <c r="J34" s="3" t="n">
        <v>56047463.3</v>
      </c>
      <c r="K34" s="3" t="n">
        <v>51447460.6</v>
      </c>
      <c r="L34" s="3" t="n">
        <v>3161870.46</v>
      </c>
      <c r="M34" s="3" t="n">
        <v>2255661.67</v>
      </c>
      <c r="N34" s="3" t="n">
        <v>0</v>
      </c>
      <c r="O34" s="3" t="n">
        <v>3485594.68</v>
      </c>
      <c r="P34" s="3" t="n">
        <v>13979955.74</v>
      </c>
      <c r="Q34" s="3" t="n">
        <v>673788929.17</v>
      </c>
    </row>
    <row r="35" customFormat="false" ht="15" hidden="false" customHeight="false" outlineLevel="0" collapsed="false">
      <c r="A35" s="2" t="s">
        <v>44</v>
      </c>
      <c r="B35" s="3" t="n">
        <v>8913.94</v>
      </c>
      <c r="C35" s="3" t="n">
        <v>257084917.6</v>
      </c>
      <c r="D35" s="3" t="n">
        <v>273229767.74</v>
      </c>
      <c r="E35" s="3" t="n">
        <v>180586362.32</v>
      </c>
      <c r="F35" s="3" t="n">
        <v>106405686.65</v>
      </c>
      <c r="G35" s="3" t="n">
        <v>72316638.86</v>
      </c>
      <c r="H35" s="3" t="n">
        <v>1207213.34</v>
      </c>
      <c r="I35" s="3" t="n">
        <v>67491363.5</v>
      </c>
      <c r="J35" s="3" t="n">
        <v>104671778.94</v>
      </c>
      <c r="K35" s="3" t="n">
        <v>58467475.34</v>
      </c>
      <c r="L35" s="3" t="n">
        <v>7178349.47</v>
      </c>
      <c r="M35" s="3" t="n">
        <v>19826901.7</v>
      </c>
      <c r="N35" s="3" t="n">
        <v>0</v>
      </c>
      <c r="O35" s="3" t="n">
        <v>51899987.74</v>
      </c>
      <c r="P35" s="3" t="n">
        <v>4926096.29</v>
      </c>
      <c r="Q35" s="3" t="n">
        <v>1313638806.7</v>
      </c>
    </row>
    <row r="36" customFormat="false" ht="15" hidden="false" customHeight="false" outlineLevel="0" collapsed="false">
      <c r="A36" s="2" t="s">
        <v>45</v>
      </c>
      <c r="B36" s="3" t="n">
        <v>3913.54</v>
      </c>
      <c r="C36" s="3" t="n">
        <v>139714400.87</v>
      </c>
      <c r="D36" s="3" t="n">
        <v>115236262.53</v>
      </c>
      <c r="E36" s="3" t="n">
        <v>129400036.95</v>
      </c>
      <c r="F36" s="3" t="n">
        <v>61742498.69</v>
      </c>
      <c r="G36" s="3" t="n">
        <v>29421437.06</v>
      </c>
      <c r="H36" s="3" t="n">
        <v>787405.55</v>
      </c>
      <c r="I36" s="3" t="n">
        <v>28758267.75</v>
      </c>
      <c r="J36" s="3" t="n">
        <v>56387327.51</v>
      </c>
      <c r="K36" s="3" t="n">
        <v>53520433.01</v>
      </c>
      <c r="L36" s="3" t="n">
        <v>3675476.95</v>
      </c>
      <c r="M36" s="3" t="n">
        <v>6825807.91</v>
      </c>
      <c r="N36" s="3" t="n">
        <v>0</v>
      </c>
      <c r="O36" s="3" t="n">
        <v>3919499.21</v>
      </c>
      <c r="P36" s="3" t="n">
        <v>9193223.31</v>
      </c>
      <c r="Q36" s="3" t="n">
        <v>688801503.43</v>
      </c>
    </row>
    <row r="37" customFormat="false" ht="15" hidden="false" customHeight="false" outlineLevel="0" collapsed="false">
      <c r="A37" s="2" t="s">
        <v>46</v>
      </c>
      <c r="B37" s="3" t="n">
        <v>6130.37</v>
      </c>
      <c r="C37" s="3" t="n">
        <v>147249346.12</v>
      </c>
      <c r="D37" s="3" t="n">
        <v>96393799.36</v>
      </c>
      <c r="E37" s="3" t="n">
        <v>150604973.88</v>
      </c>
      <c r="F37" s="3" t="n">
        <v>55411127.97</v>
      </c>
      <c r="G37" s="3" t="n">
        <v>30264249.59</v>
      </c>
      <c r="H37" s="3" t="n">
        <v>732171.24</v>
      </c>
      <c r="I37" s="3" t="n">
        <v>22839634.37</v>
      </c>
      <c r="J37" s="3" t="n">
        <v>32338283.17</v>
      </c>
      <c r="K37" s="3" t="n">
        <v>645235290.79</v>
      </c>
      <c r="L37" s="3" t="n">
        <v>3364484.99</v>
      </c>
      <c r="M37" s="3" t="n">
        <v>5919520.62</v>
      </c>
      <c r="N37" s="3" t="n">
        <v>0</v>
      </c>
      <c r="O37" s="3" t="n">
        <v>54638986.94</v>
      </c>
      <c r="P37" s="3" t="n">
        <v>16631180.79</v>
      </c>
      <c r="Q37" s="3" t="n">
        <v>1311788006.73</v>
      </c>
    </row>
    <row r="38" customFormat="false" ht="15" hidden="false" customHeight="false" outlineLevel="0" collapsed="false">
      <c r="A38" s="2" t="s">
        <v>47</v>
      </c>
      <c r="B38" s="3" t="n">
        <v>24408.73</v>
      </c>
      <c r="C38" s="3" t="n">
        <v>132961581.72</v>
      </c>
      <c r="D38" s="3" t="n">
        <v>108555338.5</v>
      </c>
      <c r="E38" s="3" t="n">
        <v>68078691.48</v>
      </c>
      <c r="F38" s="3" t="n">
        <v>58393662.48</v>
      </c>
      <c r="G38" s="3" t="n">
        <v>33831889.59</v>
      </c>
      <c r="H38" s="3" t="n">
        <v>41719375.83</v>
      </c>
      <c r="I38" s="3" t="n">
        <v>39471698.5</v>
      </c>
      <c r="J38" s="3" t="n">
        <v>21888002.86</v>
      </c>
      <c r="K38" s="3" t="n">
        <v>13501367.64</v>
      </c>
      <c r="L38" s="3" t="n">
        <v>2428239.65</v>
      </c>
      <c r="M38" s="3" t="n">
        <v>10769046.89</v>
      </c>
      <c r="N38" s="3" t="n">
        <v>0</v>
      </c>
      <c r="O38" s="3" t="n">
        <v>4163179.84</v>
      </c>
      <c r="P38" s="3" t="n">
        <v>8237052.73</v>
      </c>
      <c r="Q38" s="3" t="n">
        <v>595681933.85</v>
      </c>
    </row>
    <row r="39" customFormat="false" ht="15" hidden="false" customHeight="false" outlineLevel="0" collapsed="false">
      <c r="A39" s="2" t="s">
        <v>48</v>
      </c>
      <c r="B39" s="3" t="n">
        <v>22842.91</v>
      </c>
      <c r="C39" s="3" t="n">
        <v>95632642.96</v>
      </c>
      <c r="D39" s="3" t="n">
        <v>69747881.78</v>
      </c>
      <c r="E39" s="3" t="n">
        <v>69921194.61</v>
      </c>
      <c r="F39" s="3" t="n">
        <v>63564614.95</v>
      </c>
      <c r="G39" s="3" t="n">
        <v>25976222.77</v>
      </c>
      <c r="H39" s="3" t="n">
        <v>49417502.08</v>
      </c>
      <c r="I39" s="3" t="n">
        <v>25712998.13</v>
      </c>
      <c r="J39" s="3" t="n">
        <v>32845819.91</v>
      </c>
      <c r="K39" s="3" t="n">
        <v>3927055.1</v>
      </c>
      <c r="L39" s="3" t="n">
        <v>2670898.76</v>
      </c>
      <c r="M39" s="3" t="n">
        <v>6439542.37</v>
      </c>
      <c r="N39" s="3" t="n">
        <v>0</v>
      </c>
      <c r="O39" s="3" t="n">
        <v>5199332.43</v>
      </c>
      <c r="P39" s="3" t="n">
        <v>9399866.03</v>
      </c>
      <c r="Q39" s="3" t="n">
        <v>505913117.85</v>
      </c>
    </row>
    <row r="40" customFormat="false" ht="15" hidden="false" customHeight="false" outlineLevel="0" collapsed="false">
      <c r="A40" s="2" t="s">
        <v>49</v>
      </c>
      <c r="B40" s="3" t="n">
        <v>33202.23</v>
      </c>
      <c r="C40" s="3" t="n">
        <v>72046710.66</v>
      </c>
      <c r="D40" s="3" t="n">
        <v>45806687.76</v>
      </c>
      <c r="E40" s="3" t="n">
        <v>32790683.63</v>
      </c>
      <c r="F40" s="3" t="n">
        <v>38184223.58</v>
      </c>
      <c r="G40" s="3" t="n">
        <v>20554399.02</v>
      </c>
      <c r="H40" s="3" t="n">
        <v>37216323.72</v>
      </c>
      <c r="I40" s="3" t="n">
        <v>18208103.82</v>
      </c>
      <c r="J40" s="3" t="n">
        <v>18088492.72</v>
      </c>
      <c r="K40" s="3" t="n">
        <v>8150217.74</v>
      </c>
      <c r="L40" s="3" t="n">
        <v>2061919.25</v>
      </c>
      <c r="M40" s="3" t="n">
        <v>854131.15</v>
      </c>
      <c r="N40" s="3" t="n">
        <v>0</v>
      </c>
      <c r="O40" s="3" t="n">
        <v>4956200.34</v>
      </c>
      <c r="P40" s="3" t="n">
        <v>3206297.04</v>
      </c>
      <c r="Q40" s="3" t="n">
        <v>347904409.18</v>
      </c>
    </row>
    <row r="41" customFormat="false" ht="15" hidden="false" customHeight="false" outlineLevel="0" collapsed="false">
      <c r="A41" s="2" t="s">
        <v>50</v>
      </c>
      <c r="B41" s="3" t="n">
        <v>2973608.17</v>
      </c>
      <c r="C41" s="3" t="n">
        <v>54421539.25</v>
      </c>
      <c r="D41" s="3" t="n">
        <v>38761895.48</v>
      </c>
      <c r="E41" s="3" t="n">
        <v>26018002.24</v>
      </c>
      <c r="F41" s="3" t="n">
        <v>55335676.35</v>
      </c>
      <c r="G41" s="3" t="n">
        <v>22531421.99</v>
      </c>
      <c r="H41" s="3" t="n">
        <v>41870296.95</v>
      </c>
      <c r="I41" s="3" t="n">
        <v>29203889.79</v>
      </c>
      <c r="J41" s="3" t="n">
        <v>19501870.74</v>
      </c>
      <c r="K41" s="3" t="n">
        <v>1681502.29</v>
      </c>
      <c r="L41" s="3" t="n">
        <v>2065669.18</v>
      </c>
      <c r="M41" s="3" t="n">
        <v>7154299.61</v>
      </c>
      <c r="N41" s="3" t="n">
        <v>0</v>
      </c>
      <c r="O41" s="3" t="n">
        <v>3747956.57</v>
      </c>
      <c r="P41" s="3" t="n">
        <v>5050836.51</v>
      </c>
      <c r="Q41" s="3" t="n">
        <v>351879501.25</v>
      </c>
    </row>
    <row r="42" customFormat="false" ht="15" hidden="false" customHeight="false" outlineLevel="0" collapsed="false">
      <c r="A42" s="2" t="s">
        <v>51</v>
      </c>
      <c r="B42" s="3" t="n">
        <v>112086324.15</v>
      </c>
      <c r="C42" s="3" t="n">
        <v>81642155.22</v>
      </c>
      <c r="D42" s="3" t="n">
        <v>55678429.19</v>
      </c>
      <c r="E42" s="3" t="n">
        <v>38609444.25</v>
      </c>
      <c r="F42" s="3" t="n">
        <v>59400566.79</v>
      </c>
      <c r="G42" s="3" t="n">
        <v>35869948.67</v>
      </c>
      <c r="H42" s="3" t="n">
        <v>15813368.53</v>
      </c>
      <c r="I42" s="3" t="n">
        <v>31801807.92</v>
      </c>
      <c r="J42" s="3" t="n">
        <v>26418610.58</v>
      </c>
      <c r="K42" s="3" t="n">
        <v>6047493.88</v>
      </c>
      <c r="L42" s="3" t="n">
        <v>2341675.79</v>
      </c>
      <c r="M42" s="3" t="n">
        <v>3721608.78</v>
      </c>
      <c r="N42" s="3" t="n">
        <v>0</v>
      </c>
      <c r="O42" s="3" t="n">
        <v>7433797.45</v>
      </c>
      <c r="P42" s="3" t="n">
        <v>4289529</v>
      </c>
      <c r="Q42" s="3" t="n">
        <v>531009842.65</v>
      </c>
    </row>
    <row r="43" customFormat="false" ht="15" hidden="false" customHeight="false" outlineLevel="0" collapsed="false">
      <c r="A43" s="2" t="s">
        <v>52</v>
      </c>
      <c r="B43" s="3" t="n">
        <v>172370228.23</v>
      </c>
      <c r="C43" s="3" t="n">
        <v>82326720.04</v>
      </c>
      <c r="D43" s="3" t="n">
        <v>59811430.22</v>
      </c>
      <c r="E43" s="3" t="n">
        <v>32492784.14</v>
      </c>
      <c r="F43" s="3" t="n">
        <v>44535087.83</v>
      </c>
      <c r="G43" s="3" t="n">
        <v>29734322.16</v>
      </c>
      <c r="H43" s="3" t="n">
        <v>31429569.6</v>
      </c>
      <c r="I43" s="3" t="n">
        <v>11796656.83</v>
      </c>
      <c r="J43" s="3" t="n">
        <v>22917220.09</v>
      </c>
      <c r="K43" s="3" t="n">
        <v>27929239.89</v>
      </c>
      <c r="L43" s="3" t="n">
        <v>1613645.45</v>
      </c>
      <c r="M43" s="3" t="n">
        <v>4816455.77</v>
      </c>
      <c r="N43" s="3" t="n">
        <v>0</v>
      </c>
      <c r="O43" s="3" t="n">
        <v>1243266.78</v>
      </c>
      <c r="P43" s="3" t="n">
        <v>3023882.91</v>
      </c>
      <c r="Q43" s="3" t="n">
        <v>563486713.07</v>
      </c>
    </row>
    <row r="44" customFormat="false" ht="15" hidden="false" customHeight="false" outlineLevel="0" collapsed="false">
      <c r="A44" s="2" t="s">
        <v>53</v>
      </c>
      <c r="B44" s="3" t="n">
        <v>189268608.49</v>
      </c>
      <c r="C44" s="3" t="n">
        <v>62119405.71</v>
      </c>
      <c r="D44" s="3" t="n">
        <v>48253870.29</v>
      </c>
      <c r="E44" s="3" t="n">
        <v>42197741.34</v>
      </c>
      <c r="F44" s="3" t="n">
        <v>44295538.38</v>
      </c>
      <c r="G44" s="3" t="n">
        <v>21069922.06</v>
      </c>
      <c r="H44" s="3" t="n">
        <v>19266293.43</v>
      </c>
      <c r="I44" s="3" t="n">
        <v>31621166.44</v>
      </c>
      <c r="J44" s="3" t="n">
        <v>22832107.68</v>
      </c>
      <c r="K44" s="3" t="n">
        <v>1765217.51</v>
      </c>
      <c r="L44" s="3" t="n">
        <v>3663055.24</v>
      </c>
      <c r="M44" s="3" t="n">
        <v>15858326.68</v>
      </c>
      <c r="N44" s="3" t="n">
        <v>0</v>
      </c>
      <c r="O44" s="3" t="n">
        <v>4626727.67</v>
      </c>
      <c r="P44" s="3" t="n">
        <v>6587195.37</v>
      </c>
      <c r="Q44" s="3" t="n">
        <v>547642753.88</v>
      </c>
    </row>
    <row r="45" customFormat="false" ht="15" hidden="false" customHeight="false" outlineLevel="0" collapsed="false">
      <c r="A45" s="2" t="s">
        <v>54</v>
      </c>
      <c r="B45" s="3" t="n">
        <v>137351204.32</v>
      </c>
      <c r="C45" s="3" t="n">
        <v>72769485.64</v>
      </c>
      <c r="D45" s="3" t="n">
        <v>70800598.75</v>
      </c>
      <c r="E45" s="3" t="n">
        <v>52599014.38</v>
      </c>
      <c r="F45" s="3" t="n">
        <v>52430738.74</v>
      </c>
      <c r="G45" s="3" t="n">
        <v>33674244.38</v>
      </c>
      <c r="H45" s="3" t="n">
        <v>28595940.25</v>
      </c>
      <c r="I45" s="3" t="n">
        <v>57004659.12</v>
      </c>
      <c r="J45" s="3" t="n">
        <v>27385105.1</v>
      </c>
      <c r="K45" s="3" t="n">
        <v>2238954.44</v>
      </c>
      <c r="L45" s="3" t="n">
        <v>3341119.56</v>
      </c>
      <c r="M45" s="3" t="n">
        <v>3634153.53</v>
      </c>
      <c r="N45" s="3" t="n">
        <v>0</v>
      </c>
      <c r="O45" s="3" t="n">
        <v>53577882.5</v>
      </c>
      <c r="P45" s="3" t="n">
        <v>7711529.88</v>
      </c>
      <c r="Q45" s="3" t="n">
        <v>645473628.09</v>
      </c>
    </row>
    <row r="46" customFormat="false" ht="15" hidden="false" customHeight="false" outlineLevel="0" collapsed="false">
      <c r="A46" s="2" t="s">
        <v>55</v>
      </c>
      <c r="B46" s="3" t="n">
        <v>145097644.72</v>
      </c>
      <c r="C46" s="3" t="n">
        <v>113501655.8</v>
      </c>
      <c r="D46" s="3" t="n">
        <v>81680863.32</v>
      </c>
      <c r="E46" s="3" t="n">
        <v>59576234.81</v>
      </c>
      <c r="F46" s="3" t="n">
        <v>51441109.76</v>
      </c>
      <c r="G46" s="3" t="n">
        <v>33341257.26</v>
      </c>
      <c r="H46" s="3" t="n">
        <v>47010723.86</v>
      </c>
      <c r="I46" s="3" t="n">
        <v>59037352.2</v>
      </c>
      <c r="J46" s="3" t="n">
        <v>22813038.18</v>
      </c>
      <c r="K46" s="3" t="n">
        <v>2838654.28</v>
      </c>
      <c r="L46" s="3" t="n">
        <v>2463951.77</v>
      </c>
      <c r="M46" s="3" t="n">
        <v>4996313.69</v>
      </c>
      <c r="N46" s="3" t="n">
        <v>0</v>
      </c>
      <c r="O46" s="3" t="n">
        <v>52784079.77</v>
      </c>
      <c r="P46" s="3" t="n">
        <v>7575104.72</v>
      </c>
      <c r="Q46" s="3" t="n">
        <v>730940289.24</v>
      </c>
    </row>
    <row r="47" customFormat="false" ht="15" hidden="false" customHeight="false" outlineLevel="0" collapsed="false">
      <c r="A47" s="2" t="s">
        <v>56</v>
      </c>
      <c r="B47" s="3" t="n">
        <v>101580446.09</v>
      </c>
      <c r="C47" s="3" t="n">
        <v>62453481.53</v>
      </c>
      <c r="D47" s="3" t="n">
        <v>42477411.16</v>
      </c>
      <c r="E47" s="3" t="n">
        <v>49140985.86</v>
      </c>
      <c r="F47" s="3" t="n">
        <v>27342052.16</v>
      </c>
      <c r="G47" s="3" t="n">
        <v>24199152.63</v>
      </c>
      <c r="H47" s="3" t="n">
        <v>43578419.61</v>
      </c>
      <c r="I47" s="3" t="n">
        <v>41814476.09</v>
      </c>
      <c r="J47" s="3" t="n">
        <v>18711194.43</v>
      </c>
      <c r="K47" s="3" t="n">
        <v>662689.16</v>
      </c>
      <c r="L47" s="3" t="n">
        <v>1956665.22</v>
      </c>
      <c r="M47" s="3" t="n">
        <v>2339541.4</v>
      </c>
      <c r="N47" s="3" t="n">
        <v>0</v>
      </c>
      <c r="O47" s="3" t="n">
        <v>1246712.07</v>
      </c>
      <c r="P47" s="3" t="n">
        <v>13722873.3</v>
      </c>
      <c r="Q47" s="3" t="n">
        <v>463636279.36</v>
      </c>
    </row>
    <row r="48" customFormat="false" ht="15" hidden="false" customHeight="false" outlineLevel="0" collapsed="false">
      <c r="A48" s="2" t="s">
        <v>57</v>
      </c>
      <c r="B48" s="3" t="n">
        <v>102171205.2</v>
      </c>
      <c r="C48" s="3" t="n">
        <v>66068313.09</v>
      </c>
      <c r="D48" s="3" t="n">
        <v>29239646.49</v>
      </c>
      <c r="E48" s="3" t="n">
        <v>47195087.31</v>
      </c>
      <c r="F48" s="3" t="n">
        <v>68562427.55</v>
      </c>
      <c r="G48" s="3" t="n">
        <v>21477704.13</v>
      </c>
      <c r="H48" s="3" t="n">
        <v>1425537.29</v>
      </c>
      <c r="I48" s="3" t="n">
        <v>32003721.5</v>
      </c>
      <c r="J48" s="3" t="n">
        <v>15184276.11</v>
      </c>
      <c r="K48" s="3" t="n">
        <v>1283319.49</v>
      </c>
      <c r="L48" s="3" t="n">
        <v>2127523.09</v>
      </c>
      <c r="M48" s="3" t="n">
        <v>5124041.75</v>
      </c>
      <c r="N48" s="3" t="n">
        <v>0</v>
      </c>
      <c r="O48" s="3" t="n">
        <v>2762632.22</v>
      </c>
      <c r="P48" s="3" t="n">
        <v>10848343.2</v>
      </c>
      <c r="Q48" s="3" t="n">
        <v>448689890.79</v>
      </c>
    </row>
    <row r="49" customFormat="false" ht="15" hidden="false" customHeight="false" outlineLevel="0" collapsed="false">
      <c r="A49" s="2" t="s">
        <v>58</v>
      </c>
      <c r="B49" s="3" t="n">
        <v>162566282.12</v>
      </c>
      <c r="C49" s="3" t="n">
        <v>74466036.4</v>
      </c>
      <c r="D49" s="3" t="n">
        <v>51292085.86</v>
      </c>
      <c r="E49" s="3" t="n">
        <v>51601842.65</v>
      </c>
      <c r="F49" s="3" t="n">
        <v>62899280.74</v>
      </c>
      <c r="G49" s="3" t="n">
        <v>21519222.93</v>
      </c>
      <c r="H49" s="3" t="n">
        <v>17731158.47</v>
      </c>
      <c r="I49" s="3" t="n">
        <v>32916714.29</v>
      </c>
      <c r="J49" s="3" t="n">
        <v>20757112.65</v>
      </c>
      <c r="K49" s="3" t="n">
        <v>276185.06</v>
      </c>
      <c r="L49" s="3" t="n">
        <v>1425090.07</v>
      </c>
      <c r="M49" s="3" t="n">
        <v>9209328.92</v>
      </c>
      <c r="N49" s="3" t="n">
        <v>0</v>
      </c>
      <c r="O49" s="3" t="n">
        <v>4630021.64</v>
      </c>
      <c r="P49" s="3" t="n">
        <v>5588734.74</v>
      </c>
      <c r="Q49" s="3" t="n">
        <v>551491864.93</v>
      </c>
    </row>
    <row r="50" customFormat="false" ht="15" hidden="false" customHeight="false" outlineLevel="0" collapsed="false">
      <c r="A50" s="2" t="s">
        <v>59</v>
      </c>
      <c r="B50" s="3" t="n">
        <v>136719192.46</v>
      </c>
      <c r="C50" s="3" t="n">
        <v>123179015.26</v>
      </c>
      <c r="D50" s="3" t="n">
        <v>110399747.74</v>
      </c>
      <c r="E50" s="3" t="n">
        <v>52592318.41</v>
      </c>
      <c r="F50" s="3" t="n">
        <v>59982279.05</v>
      </c>
      <c r="G50" s="3" t="n">
        <v>31588557.29</v>
      </c>
      <c r="H50" s="3" t="n">
        <v>19966358.9</v>
      </c>
      <c r="I50" s="3" t="n">
        <v>56109613.63</v>
      </c>
      <c r="J50" s="3" t="n">
        <v>27656428.92</v>
      </c>
      <c r="K50" s="3" t="n">
        <v>1084168.76</v>
      </c>
      <c r="L50" s="3" t="n">
        <v>1969955.24</v>
      </c>
      <c r="M50" s="3" t="n">
        <v>12003549.57</v>
      </c>
      <c r="N50" s="3" t="n">
        <v>0</v>
      </c>
      <c r="O50" s="3" t="n">
        <v>76228929.61</v>
      </c>
      <c r="P50" s="3" t="n">
        <v>5306305.74</v>
      </c>
      <c r="Q50" s="3" t="n">
        <v>756863627.44</v>
      </c>
    </row>
    <row r="51" customFormat="false" ht="15" hidden="false" customHeight="false" outlineLevel="0" collapsed="false">
      <c r="A51" s="2" t="s">
        <v>60</v>
      </c>
      <c r="B51" s="3" t="n">
        <v>43062029.74</v>
      </c>
      <c r="C51" s="3" t="n">
        <v>103348853.31</v>
      </c>
      <c r="D51" s="3" t="n">
        <v>58721071.33</v>
      </c>
      <c r="E51" s="3" t="n">
        <v>83919469.3</v>
      </c>
      <c r="F51" s="3" t="n">
        <v>44071125.51</v>
      </c>
      <c r="G51" s="3" t="n">
        <v>29655076.59</v>
      </c>
      <c r="H51" s="3" t="n">
        <v>24449008.02</v>
      </c>
      <c r="I51" s="3" t="n">
        <v>61705359.98</v>
      </c>
      <c r="J51" s="3" t="n">
        <v>16547583.29</v>
      </c>
      <c r="K51" s="3" t="n">
        <v>38407139.33</v>
      </c>
      <c r="L51" s="3" t="n">
        <v>3424438.08</v>
      </c>
      <c r="M51" s="3" t="n">
        <v>2468886.69</v>
      </c>
      <c r="N51" s="3" t="n">
        <v>0</v>
      </c>
      <c r="O51" s="3" t="n">
        <v>1143779.36</v>
      </c>
      <c r="P51" s="3" t="n">
        <v>15832369.38</v>
      </c>
      <c r="Q51" s="3" t="n">
        <v>607181507.54</v>
      </c>
    </row>
    <row r="52" customFormat="false" ht="15" hidden="false" customHeight="false" outlineLevel="0" collapsed="false">
      <c r="A52" s="2" t="s">
        <v>61</v>
      </c>
      <c r="B52" s="3" t="n">
        <v>28231291.54</v>
      </c>
      <c r="C52" s="3" t="n">
        <v>94370872.06</v>
      </c>
      <c r="D52" s="3" t="n">
        <v>85206472.98</v>
      </c>
      <c r="E52" s="3" t="n">
        <v>127470770.74</v>
      </c>
      <c r="F52" s="3" t="n">
        <v>78064982.38</v>
      </c>
      <c r="G52" s="3" t="n">
        <v>35042359.43</v>
      </c>
      <c r="H52" s="3" t="n">
        <v>59747802.91</v>
      </c>
      <c r="I52" s="3" t="n">
        <v>46266546.65</v>
      </c>
      <c r="J52" s="3" t="n">
        <v>31487879.11</v>
      </c>
      <c r="K52" s="3" t="n">
        <v>7817975.77</v>
      </c>
      <c r="L52" s="3" t="n">
        <v>3312578.43</v>
      </c>
      <c r="M52" s="3" t="n">
        <v>11207276.1</v>
      </c>
      <c r="N52" s="3" t="n">
        <v>0</v>
      </c>
      <c r="O52" s="3" t="n">
        <v>412158.24</v>
      </c>
      <c r="P52" s="3" t="n">
        <v>10799800.12</v>
      </c>
      <c r="Q52" s="3" t="n">
        <v>682394153.69</v>
      </c>
    </row>
    <row r="53" customFormat="false" ht="15" hidden="false" customHeight="false" outlineLevel="0" collapsed="false">
      <c r="A53" s="2" t="s">
        <v>62</v>
      </c>
      <c r="B53" s="3" t="n">
        <v>381848274.4</v>
      </c>
      <c r="C53" s="3" t="n">
        <v>120284298.01</v>
      </c>
      <c r="D53" s="3" t="n">
        <v>108677622.09</v>
      </c>
      <c r="E53" s="3" t="n">
        <v>130637909.09</v>
      </c>
      <c r="F53" s="3" t="n">
        <v>36683430.69</v>
      </c>
      <c r="G53" s="3" t="n">
        <v>42444499.47</v>
      </c>
      <c r="H53" s="3" t="n">
        <v>74836156.56</v>
      </c>
      <c r="I53" s="3" t="n">
        <v>88316092.88</v>
      </c>
      <c r="J53" s="3" t="n">
        <v>43483796.34</v>
      </c>
      <c r="K53" s="3" t="n">
        <v>6332511.06</v>
      </c>
      <c r="L53" s="3" t="n">
        <v>3266935.26</v>
      </c>
      <c r="M53" s="3" t="n">
        <v>9102101.59</v>
      </c>
      <c r="N53" s="3" t="n">
        <v>0</v>
      </c>
      <c r="O53" s="3" t="n">
        <v>55593105.1</v>
      </c>
      <c r="P53" s="3" t="n">
        <v>14140882.55</v>
      </c>
      <c r="Q53" s="3" t="n">
        <v>1196800430.22</v>
      </c>
    </row>
    <row r="54" customFormat="false" ht="15" hidden="false" customHeight="false" outlineLevel="0" collapsed="false">
      <c r="A54" s="2" t="s">
        <v>63</v>
      </c>
      <c r="B54" s="3" t="n">
        <v>262950134.35</v>
      </c>
      <c r="C54" s="3" t="n">
        <v>82674192.32</v>
      </c>
      <c r="D54" s="3" t="n">
        <v>64352596.17</v>
      </c>
      <c r="E54" s="3" t="n">
        <v>72814067.73</v>
      </c>
      <c r="F54" s="3" t="n">
        <v>31629368.93</v>
      </c>
      <c r="G54" s="3" t="n">
        <v>25999662.18</v>
      </c>
      <c r="H54" s="3" t="n">
        <v>49864509.85</v>
      </c>
      <c r="I54" s="3" t="n">
        <v>32520058.39</v>
      </c>
      <c r="J54" s="3" t="n">
        <v>25145106.42</v>
      </c>
      <c r="K54" s="3" t="n">
        <v>2178276.99</v>
      </c>
      <c r="L54" s="3" t="n">
        <v>2083471.37</v>
      </c>
      <c r="M54" s="3" t="n">
        <v>17467469.34</v>
      </c>
      <c r="N54" s="3" t="n">
        <v>0</v>
      </c>
      <c r="O54" s="3" t="n">
        <v>40347119.74</v>
      </c>
      <c r="P54" s="3" t="n">
        <v>12874141.42</v>
      </c>
      <c r="Q54" s="3" t="n">
        <v>766380665.62</v>
      </c>
    </row>
    <row r="55" customFormat="false" ht="15" hidden="false" customHeight="false" outlineLevel="0" collapsed="false">
      <c r="A55" s="2" t="s">
        <v>64</v>
      </c>
      <c r="B55" s="3" t="n">
        <v>123002241.97</v>
      </c>
      <c r="C55" s="3" t="n">
        <v>72513638.77</v>
      </c>
      <c r="D55" s="3" t="n">
        <v>41832760.24</v>
      </c>
      <c r="E55" s="3" t="n">
        <v>48841817.9</v>
      </c>
      <c r="F55" s="3" t="n">
        <v>29989134.67</v>
      </c>
      <c r="G55" s="3" t="n">
        <v>23891617.75</v>
      </c>
      <c r="H55" s="3" t="n">
        <v>44615210.94</v>
      </c>
      <c r="I55" s="3" t="n">
        <v>30843553.5</v>
      </c>
      <c r="J55" s="3" t="n">
        <v>21454121.72</v>
      </c>
      <c r="K55" s="3" t="n">
        <v>2627234.87</v>
      </c>
      <c r="L55" s="3" t="n">
        <v>1628211.78</v>
      </c>
      <c r="M55" s="3" t="n">
        <v>7265263.35</v>
      </c>
      <c r="N55" s="3" t="n">
        <v>0</v>
      </c>
      <c r="O55" s="3" t="n">
        <v>2646914.61</v>
      </c>
      <c r="P55" s="3" t="n">
        <v>9036965.72</v>
      </c>
      <c r="Q55" s="3" t="n">
        <v>499658289.26</v>
      </c>
    </row>
    <row r="56" customFormat="false" ht="15" hidden="false" customHeight="false" outlineLevel="0" collapsed="false">
      <c r="A56" s="2" t="s">
        <v>65</v>
      </c>
      <c r="B56" s="3" t="n">
        <v>170322271.04</v>
      </c>
      <c r="C56" s="3" t="n">
        <v>112398751.35</v>
      </c>
      <c r="D56" s="3" t="n">
        <v>62349444.59</v>
      </c>
      <c r="E56" s="3" t="n">
        <v>64236677.76</v>
      </c>
      <c r="F56" s="3" t="n">
        <v>48621795.45</v>
      </c>
      <c r="G56" s="3" t="n">
        <v>34298571.77</v>
      </c>
      <c r="H56" s="3" t="n">
        <v>67080665.68</v>
      </c>
      <c r="I56" s="3" t="n">
        <v>56004553.28</v>
      </c>
      <c r="J56" s="3" t="n">
        <v>28065133.83</v>
      </c>
      <c r="K56" s="3" t="n">
        <v>103858216.47</v>
      </c>
      <c r="L56" s="3" t="n">
        <v>6637171.19</v>
      </c>
      <c r="M56" s="3" t="n">
        <v>2659810.49</v>
      </c>
      <c r="N56" s="3" t="n">
        <v>0</v>
      </c>
      <c r="O56" s="3" t="n">
        <v>37639314.72</v>
      </c>
      <c r="P56" s="3" t="n">
        <v>9320597.91</v>
      </c>
      <c r="Q56" s="3" t="n">
        <v>851251348.42</v>
      </c>
    </row>
    <row r="57" customFormat="false" ht="15" hidden="false" customHeight="false" outlineLevel="0" collapsed="false">
      <c r="A57" s="2" t="s">
        <v>66</v>
      </c>
      <c r="B57" s="3" t="n">
        <v>280671372.27</v>
      </c>
      <c r="C57" s="3" t="n">
        <v>138335389.43</v>
      </c>
      <c r="D57" s="3" t="n">
        <v>112485084.33</v>
      </c>
      <c r="E57" s="3" t="n">
        <v>104049074.28</v>
      </c>
      <c r="F57" s="3" t="n">
        <v>85436479.87</v>
      </c>
      <c r="G57" s="3" t="n">
        <v>36393317.11</v>
      </c>
      <c r="H57" s="3" t="n">
        <v>47957308.33</v>
      </c>
      <c r="I57" s="3" t="n">
        <v>49026197.99</v>
      </c>
      <c r="J57" s="3" t="n">
        <v>47744234.06</v>
      </c>
      <c r="K57" s="3" t="n">
        <v>4816679.79</v>
      </c>
      <c r="L57" s="3" t="n">
        <v>3576889.65</v>
      </c>
      <c r="M57" s="3" t="n">
        <v>10542597.71</v>
      </c>
      <c r="N57" s="3" t="n">
        <v>0</v>
      </c>
      <c r="O57" s="3" t="n">
        <v>9683422.15</v>
      </c>
      <c r="P57" s="3" t="n">
        <v>10744933.02</v>
      </c>
      <c r="Q57" s="3" t="n">
        <v>1006692983.99</v>
      </c>
    </row>
    <row r="58" customFormat="false" ht="15" hidden="false" customHeight="false" outlineLevel="0" collapsed="false">
      <c r="A58" s="2" t="s">
        <v>67</v>
      </c>
      <c r="B58" s="3" t="n">
        <v>198204086.82</v>
      </c>
      <c r="C58" s="3" t="n">
        <v>94499529.16</v>
      </c>
      <c r="D58" s="3" t="n">
        <v>72591460.76</v>
      </c>
      <c r="E58" s="3" t="n">
        <v>80188785.34</v>
      </c>
      <c r="F58" s="3" t="n">
        <v>66142362.51</v>
      </c>
      <c r="G58" s="3" t="n">
        <v>28611947.18</v>
      </c>
      <c r="H58" s="3" t="n">
        <v>41463814.49</v>
      </c>
      <c r="I58" s="3" t="n">
        <v>29519842.4</v>
      </c>
      <c r="J58" s="3" t="n">
        <v>12096677.04</v>
      </c>
      <c r="K58" s="3" t="n">
        <v>5581390.86</v>
      </c>
      <c r="L58" s="3" t="n">
        <v>5448347.31</v>
      </c>
      <c r="M58" s="3" t="n">
        <v>4578119.33</v>
      </c>
      <c r="N58" s="3" t="n">
        <v>0</v>
      </c>
      <c r="O58" s="3" t="n">
        <v>1635448.01</v>
      </c>
      <c r="P58" s="3" t="n">
        <v>10599599.41</v>
      </c>
      <c r="Q58" s="3" t="n">
        <v>712620705.82</v>
      </c>
    </row>
    <row r="59" customFormat="false" ht="15" hidden="false" customHeight="false" outlineLevel="0" collapsed="false">
      <c r="A59" s="2" t="s">
        <v>68</v>
      </c>
      <c r="B59" s="3" t="n">
        <v>153551795.94</v>
      </c>
      <c r="C59" s="3" t="n">
        <v>73757949.19</v>
      </c>
      <c r="D59" s="3" t="n">
        <v>73884395.41</v>
      </c>
      <c r="E59" s="3" t="n">
        <v>50831869.63</v>
      </c>
      <c r="F59" s="3" t="n">
        <v>30915528.42</v>
      </c>
      <c r="G59" s="3" t="n">
        <v>21739463.42</v>
      </c>
      <c r="H59" s="3" t="n">
        <v>37437531.12</v>
      </c>
      <c r="I59" s="3" t="n">
        <v>21409249.25</v>
      </c>
      <c r="J59" s="3" t="n">
        <v>24150693.95</v>
      </c>
      <c r="K59" s="3" t="n">
        <v>2853414.42</v>
      </c>
      <c r="L59" s="3" t="n">
        <v>2956446.52</v>
      </c>
      <c r="M59" s="3" t="n">
        <v>2806743.1</v>
      </c>
      <c r="N59" s="3" t="n">
        <v>0</v>
      </c>
      <c r="O59" s="3" t="n">
        <v>14781725.66</v>
      </c>
      <c r="P59" s="3" t="n">
        <v>7853878.43</v>
      </c>
      <c r="Q59" s="3" t="n">
        <v>569025560.1</v>
      </c>
    </row>
    <row r="60" customFormat="false" ht="15" hidden="false" customHeight="false" outlineLevel="0" collapsed="false">
      <c r="A60" s="2" t="s">
        <v>69</v>
      </c>
      <c r="B60" s="3" t="n">
        <v>224623720.43</v>
      </c>
      <c r="C60" s="3" t="n">
        <v>119101997.27</v>
      </c>
      <c r="D60" s="3" t="n">
        <v>88120614.37</v>
      </c>
      <c r="E60" s="3" t="n">
        <v>86554626.19</v>
      </c>
      <c r="F60" s="3" t="n">
        <v>45520084.14</v>
      </c>
      <c r="G60" s="3" t="n">
        <v>16524774.63</v>
      </c>
      <c r="H60" s="3" t="n">
        <v>9184005.73</v>
      </c>
      <c r="I60" s="3" t="n">
        <v>10598063.77</v>
      </c>
      <c r="J60" s="3" t="n">
        <v>21409059.83</v>
      </c>
      <c r="K60" s="3" t="n">
        <v>8527265.8</v>
      </c>
      <c r="L60" s="3" t="n">
        <v>5296644.15</v>
      </c>
      <c r="M60" s="3" t="n">
        <v>5400315.51</v>
      </c>
      <c r="N60" s="3" t="n">
        <v>0</v>
      </c>
      <c r="O60" s="3" t="n">
        <v>7417341.2</v>
      </c>
      <c r="P60" s="3" t="n">
        <v>7670546.92</v>
      </c>
      <c r="Q60" s="3" t="n">
        <v>716957508.26</v>
      </c>
    </row>
    <row r="61" customFormat="false" ht="15" hidden="false" customHeight="false" outlineLevel="0" collapsed="false">
      <c r="A61" s="2" t="s">
        <v>70</v>
      </c>
      <c r="B61" s="3" t="n">
        <v>146034636.98</v>
      </c>
      <c r="C61" s="3" t="n">
        <v>69820146.36</v>
      </c>
      <c r="D61" s="3" t="n">
        <v>38642527.42</v>
      </c>
      <c r="E61" s="3" t="n">
        <v>56480386.29</v>
      </c>
      <c r="F61" s="3" t="n">
        <v>103229419.81</v>
      </c>
      <c r="G61" s="3" t="n">
        <v>21495073.77</v>
      </c>
      <c r="H61" s="3" t="n">
        <v>1849450.09</v>
      </c>
      <c r="I61" s="3" t="n">
        <v>28680031.88</v>
      </c>
      <c r="J61" s="3" t="n">
        <v>3906790.41</v>
      </c>
      <c r="K61" s="3" t="n">
        <v>2600709.98</v>
      </c>
      <c r="L61" s="3" t="n">
        <v>1478097.09</v>
      </c>
      <c r="M61" s="3" t="n">
        <v>2153835.67</v>
      </c>
      <c r="N61" s="3" t="n">
        <v>0</v>
      </c>
      <c r="O61" s="3" t="n">
        <v>518887.88</v>
      </c>
      <c r="P61" s="3" t="n">
        <v>6121970.06</v>
      </c>
      <c r="Q61" s="3" t="n">
        <v>514119760.02</v>
      </c>
    </row>
    <row r="62" customFormat="false" ht="15" hidden="false" customHeight="false" outlineLevel="0" collapsed="false">
      <c r="A62" s="2" t="s">
        <v>71</v>
      </c>
      <c r="B62" s="3" t="n">
        <v>196696776.5</v>
      </c>
      <c r="C62" s="3" t="n">
        <v>84837058.7</v>
      </c>
      <c r="D62" s="3" t="n">
        <v>110524217.3</v>
      </c>
      <c r="E62" s="3" t="n">
        <v>71530247.17</v>
      </c>
      <c r="F62" s="3" t="n">
        <v>60109259.9</v>
      </c>
      <c r="G62" s="3" t="n">
        <v>30596686.33</v>
      </c>
      <c r="H62" s="3" t="n">
        <v>1160471.02</v>
      </c>
      <c r="I62" s="3" t="n">
        <v>72184408.55</v>
      </c>
      <c r="J62" s="3" t="n">
        <v>8877340.39</v>
      </c>
      <c r="K62" s="3" t="n">
        <v>918997.85</v>
      </c>
      <c r="L62" s="3" t="n">
        <v>2234632.5</v>
      </c>
      <c r="M62" s="3" t="n">
        <v>6880963.04</v>
      </c>
      <c r="N62" s="3" t="n">
        <v>0</v>
      </c>
      <c r="O62" s="3" t="n">
        <v>940037.57</v>
      </c>
      <c r="P62" s="3" t="n">
        <v>8671162.99</v>
      </c>
      <c r="Q62" s="3" t="n">
        <v>708165620.51</v>
      </c>
    </row>
    <row r="63" customFormat="false" ht="15" hidden="false" customHeight="false" outlineLevel="0" collapsed="false">
      <c r="A63" s="2" t="s">
        <v>72</v>
      </c>
      <c r="B63" s="3" t="n">
        <v>187997066.31</v>
      </c>
      <c r="C63" s="3" t="n">
        <v>99072691.27</v>
      </c>
      <c r="D63" s="3" t="n">
        <v>70050236.6</v>
      </c>
      <c r="E63" s="3" t="n">
        <v>77993087.25</v>
      </c>
      <c r="F63" s="3" t="n">
        <v>42124263.19</v>
      </c>
      <c r="G63" s="3" t="n">
        <v>29354228.85</v>
      </c>
      <c r="H63" s="3" t="n">
        <v>45515508.69</v>
      </c>
      <c r="I63" s="3" t="n">
        <v>27079070.31</v>
      </c>
      <c r="J63" s="3" t="n">
        <v>10880450.05</v>
      </c>
      <c r="K63" s="3" t="n">
        <v>2974776.98</v>
      </c>
      <c r="L63" s="3" t="n">
        <v>2819268.17</v>
      </c>
      <c r="M63" s="3" t="n">
        <v>10143382.42</v>
      </c>
      <c r="N63" s="3" t="n">
        <v>0</v>
      </c>
      <c r="O63" s="3" t="n">
        <v>5040171.53</v>
      </c>
      <c r="P63" s="3" t="n">
        <v>6829406.9</v>
      </c>
      <c r="Q63" s="3" t="n">
        <v>674827629.87</v>
      </c>
    </row>
    <row r="64" customFormat="false" ht="15" hidden="false" customHeight="false" outlineLevel="0" collapsed="false">
      <c r="A64" s="2" t="s">
        <v>73</v>
      </c>
      <c r="B64" s="3" t="n">
        <v>165549032.69</v>
      </c>
      <c r="C64" s="3" t="n">
        <v>94444656.36</v>
      </c>
      <c r="D64" s="3" t="n">
        <v>143909888.27</v>
      </c>
      <c r="E64" s="3" t="n">
        <v>53164763.53</v>
      </c>
      <c r="F64" s="3" t="n">
        <v>41541411.54</v>
      </c>
      <c r="G64" s="3" t="n">
        <v>26133507.47</v>
      </c>
      <c r="H64" s="3" t="n">
        <v>27948312.74</v>
      </c>
      <c r="I64" s="3" t="n">
        <v>26681559.21</v>
      </c>
      <c r="J64" s="3" t="n">
        <v>61511014.13</v>
      </c>
      <c r="K64" s="3" t="n">
        <v>2418670.09</v>
      </c>
      <c r="L64" s="3" t="n">
        <v>2779644.57</v>
      </c>
      <c r="M64" s="3" t="n">
        <v>3592678.66</v>
      </c>
      <c r="N64" s="3" t="n">
        <v>0</v>
      </c>
      <c r="O64" s="3" t="n">
        <v>3346999.74</v>
      </c>
      <c r="P64" s="3" t="n">
        <v>4554550.24</v>
      </c>
      <c r="Q64" s="3" t="n">
        <v>715105758.72</v>
      </c>
    </row>
    <row r="65" customFormat="false" ht="15" hidden="false" customHeight="false" outlineLevel="0" collapsed="false">
      <c r="A65" s="2" t="s">
        <v>74</v>
      </c>
      <c r="B65" s="3" t="n">
        <v>171502416.12</v>
      </c>
      <c r="C65" s="3" t="n">
        <v>62824908.7</v>
      </c>
      <c r="D65" s="3" t="n">
        <v>79812774.27</v>
      </c>
      <c r="E65" s="3" t="n">
        <v>43594564.23</v>
      </c>
      <c r="F65" s="3" t="n">
        <v>74072170.02</v>
      </c>
      <c r="G65" s="3" t="n">
        <v>22292917.74</v>
      </c>
      <c r="H65" s="3" t="n">
        <v>32280417.95</v>
      </c>
      <c r="I65" s="3" t="n">
        <v>17802918.03</v>
      </c>
      <c r="J65" s="3" t="n">
        <v>39135586.93</v>
      </c>
      <c r="K65" s="3" t="n">
        <v>2710267.8</v>
      </c>
      <c r="L65" s="3" t="n">
        <v>5059392.82</v>
      </c>
      <c r="M65" s="3" t="n">
        <v>11949496.95</v>
      </c>
      <c r="N65" s="3" t="n">
        <v>0</v>
      </c>
      <c r="O65" s="3" t="n">
        <v>982445.32</v>
      </c>
      <c r="P65" s="3" t="n">
        <v>3045542.28</v>
      </c>
      <c r="Q65" s="3" t="n">
        <v>624978282.72</v>
      </c>
    </row>
    <row r="66" customFormat="false" ht="15" hidden="false" customHeight="false" outlineLevel="0" collapsed="false">
      <c r="A66" s="2" t="s">
        <v>75</v>
      </c>
      <c r="B66" s="3" t="n">
        <v>166864973.78</v>
      </c>
      <c r="C66" s="3" t="n">
        <v>66881012.85</v>
      </c>
      <c r="D66" s="3" t="n">
        <v>49166016.03</v>
      </c>
      <c r="E66" s="3" t="n">
        <v>43314982.34</v>
      </c>
      <c r="F66" s="3" t="n">
        <v>22916927.24</v>
      </c>
      <c r="G66" s="3" t="n">
        <v>19082528.21</v>
      </c>
      <c r="H66" s="3" t="n">
        <v>52470826.33</v>
      </c>
      <c r="I66" s="3" t="n">
        <v>18426590.82</v>
      </c>
      <c r="J66" s="3" t="n">
        <v>20677085.49</v>
      </c>
      <c r="K66" s="3" t="n">
        <v>3032921.6</v>
      </c>
      <c r="L66" s="3" t="n">
        <v>4536744.42</v>
      </c>
      <c r="M66" s="3" t="n">
        <v>2132018.46</v>
      </c>
      <c r="N66" s="3" t="n">
        <v>0</v>
      </c>
      <c r="O66" s="3" t="n">
        <v>1318283.76</v>
      </c>
      <c r="P66" s="3" t="n">
        <v>3300660.51</v>
      </c>
      <c r="Q66" s="3" t="n">
        <v>521032273.98</v>
      </c>
    </row>
    <row r="67" customFormat="false" ht="15" hidden="false" customHeight="false" outlineLevel="0" collapsed="false">
      <c r="A67" s="2" t="s">
        <v>76</v>
      </c>
      <c r="B67" s="3" t="n">
        <v>135711849.77</v>
      </c>
      <c r="C67" s="3" t="n">
        <v>57477484</v>
      </c>
      <c r="D67" s="3" t="n">
        <v>52461581.79</v>
      </c>
      <c r="E67" s="3" t="n">
        <v>49139945.8</v>
      </c>
      <c r="F67" s="3" t="n">
        <v>27885239.89</v>
      </c>
      <c r="G67" s="3" t="n">
        <v>22882915.29</v>
      </c>
      <c r="H67" s="3" t="n">
        <v>45804177.16</v>
      </c>
      <c r="I67" s="3" t="n">
        <v>16253617.85</v>
      </c>
      <c r="J67" s="3" t="n">
        <v>5994248.11</v>
      </c>
      <c r="K67" s="3" t="n">
        <v>3264866.2</v>
      </c>
      <c r="L67" s="3" t="n">
        <v>2293695.02</v>
      </c>
      <c r="M67" s="3" t="n">
        <v>3729455.77</v>
      </c>
      <c r="N67" s="3" t="n">
        <v>0</v>
      </c>
      <c r="O67" s="3" t="n">
        <v>4135725.83</v>
      </c>
      <c r="P67" s="3" t="n">
        <v>5045915.91</v>
      </c>
      <c r="Q67" s="3" t="n">
        <v>466159533.22</v>
      </c>
    </row>
    <row r="68" customFormat="false" ht="15" hidden="false" customHeight="false" outlineLevel="0" collapsed="false">
      <c r="A68" s="2" t="s">
        <v>77</v>
      </c>
      <c r="B68" s="3" t="n">
        <v>102685357.17</v>
      </c>
      <c r="C68" s="3" t="n">
        <v>57902083.06</v>
      </c>
      <c r="D68" s="3" t="n">
        <v>26374171.56</v>
      </c>
      <c r="E68" s="3" t="n">
        <v>40144775.5</v>
      </c>
      <c r="F68" s="3" t="n">
        <v>27580913.04</v>
      </c>
      <c r="G68" s="3" t="n">
        <v>18399933.42</v>
      </c>
      <c r="H68" s="3" t="n">
        <v>34474077.4</v>
      </c>
      <c r="I68" s="3" t="n">
        <v>29206341.61</v>
      </c>
      <c r="J68" s="3" t="n">
        <v>3709965.13</v>
      </c>
      <c r="K68" s="3" t="n">
        <v>2131706.5</v>
      </c>
      <c r="L68" s="3" t="n">
        <v>1424822.82</v>
      </c>
      <c r="M68" s="3" t="n">
        <v>1371274.47</v>
      </c>
      <c r="N68" s="3" t="n">
        <v>0</v>
      </c>
      <c r="O68" s="3" t="n">
        <v>431864.27</v>
      </c>
      <c r="P68" s="3" t="n">
        <v>4671043.89</v>
      </c>
      <c r="Q68" s="3" t="n">
        <v>379879821.5</v>
      </c>
    </row>
    <row r="69" customFormat="false" ht="15" hidden="false" customHeight="false" outlineLevel="0" collapsed="false">
      <c r="A69" s="2" t="s">
        <v>78</v>
      </c>
      <c r="B69" s="3" t="n">
        <v>100081598.07</v>
      </c>
      <c r="C69" s="3" t="n">
        <v>51832608.98</v>
      </c>
      <c r="D69" s="3" t="n">
        <v>70824741.49</v>
      </c>
      <c r="E69" s="3" t="n">
        <v>39648943.8</v>
      </c>
      <c r="F69" s="3" t="n">
        <v>16731653.01</v>
      </c>
      <c r="G69" s="3" t="n">
        <v>19638152.6</v>
      </c>
      <c r="H69" s="3" t="n">
        <v>22291106.37</v>
      </c>
      <c r="I69" s="3" t="n">
        <v>15959214.92</v>
      </c>
      <c r="J69" s="3" t="n">
        <v>19541375.39</v>
      </c>
      <c r="K69" s="3" t="n">
        <v>2722518.02</v>
      </c>
      <c r="L69" s="3" t="n">
        <v>1384920.47</v>
      </c>
      <c r="M69" s="3" t="n">
        <v>1996066.79</v>
      </c>
      <c r="N69" s="3" t="n">
        <v>0</v>
      </c>
      <c r="O69" s="3" t="n">
        <v>2805185.61</v>
      </c>
      <c r="P69" s="3" t="n">
        <v>7984758.25</v>
      </c>
      <c r="Q69" s="3" t="n">
        <v>403237318.72</v>
      </c>
    </row>
    <row r="70" customFormat="false" ht="15" hidden="false" customHeight="false" outlineLevel="0" collapsed="false">
      <c r="A70" s="2" t="s">
        <v>79</v>
      </c>
      <c r="B70" s="3" t="n">
        <v>179681983.22</v>
      </c>
      <c r="C70" s="3" t="n">
        <v>134339542.46</v>
      </c>
      <c r="D70" s="3" t="n">
        <v>115011072.99</v>
      </c>
      <c r="E70" s="3" t="n">
        <v>73520330.39</v>
      </c>
      <c r="F70" s="3" t="n">
        <v>45606630.42</v>
      </c>
      <c r="G70" s="3" t="n">
        <v>38097286.41</v>
      </c>
      <c r="H70" s="3" t="n">
        <v>2373185.23</v>
      </c>
      <c r="I70" s="3" t="n">
        <v>27356414.23</v>
      </c>
      <c r="J70" s="3" t="n">
        <v>34436195.76</v>
      </c>
      <c r="K70" s="3" t="n">
        <v>3335940.27</v>
      </c>
      <c r="L70" s="3" t="n">
        <v>2597102.25</v>
      </c>
      <c r="M70" s="3" t="n">
        <v>13672109.92</v>
      </c>
      <c r="N70" s="3" t="n">
        <v>0</v>
      </c>
      <c r="O70" s="3" t="n">
        <v>949568.53</v>
      </c>
      <c r="P70" s="3" t="n">
        <v>13040155.75</v>
      </c>
      <c r="Q70" s="3" t="n">
        <v>732290867.96</v>
      </c>
    </row>
    <row r="71" customFormat="false" ht="15" hidden="false" customHeight="false" outlineLevel="0" collapsed="false">
      <c r="A71" s="2" t="s">
        <v>80</v>
      </c>
      <c r="B71" s="3" t="n">
        <v>156821488.72</v>
      </c>
      <c r="C71" s="3" t="n">
        <v>109985478.3</v>
      </c>
      <c r="D71" s="3" t="n">
        <v>100152894.85</v>
      </c>
      <c r="E71" s="3" t="n">
        <v>63931219.85</v>
      </c>
      <c r="F71" s="3" t="n">
        <v>56810679.45</v>
      </c>
      <c r="G71" s="3" t="n">
        <v>31951009.2</v>
      </c>
      <c r="H71" s="3" t="n">
        <v>20273318.52</v>
      </c>
      <c r="I71" s="3" t="n">
        <v>20174999.56</v>
      </c>
      <c r="J71" s="3" t="n">
        <v>38179044.27</v>
      </c>
      <c r="K71" s="3" t="n">
        <v>5094370.63</v>
      </c>
      <c r="L71" s="3" t="n">
        <v>3932135.8</v>
      </c>
      <c r="M71" s="3" t="n">
        <v>7252417.29</v>
      </c>
      <c r="N71" s="3" t="n">
        <v>0</v>
      </c>
      <c r="O71" s="3" t="n">
        <v>1186527.21</v>
      </c>
      <c r="P71" s="3" t="n">
        <v>13350151.98</v>
      </c>
      <c r="Q71" s="3" t="n">
        <v>683849885.55</v>
      </c>
    </row>
    <row r="72" customFormat="false" ht="15" hidden="false" customHeight="false" outlineLevel="0" collapsed="false">
      <c r="A72" s="2" t="s">
        <v>81</v>
      </c>
      <c r="B72" s="3" t="n">
        <v>13606239.15</v>
      </c>
      <c r="C72" s="3" t="n">
        <v>90689141.4</v>
      </c>
      <c r="D72" s="3" t="n">
        <v>140257434.72</v>
      </c>
      <c r="E72" s="3" t="n">
        <v>93540453.36</v>
      </c>
      <c r="F72" s="3" t="n">
        <v>41146141.17</v>
      </c>
      <c r="G72" s="3" t="n">
        <v>27772136.71</v>
      </c>
      <c r="H72" s="3" t="n">
        <v>45490662.73</v>
      </c>
      <c r="I72" s="3" t="n">
        <v>24049193.72</v>
      </c>
      <c r="J72" s="3" t="n">
        <v>25263323.28</v>
      </c>
      <c r="K72" s="3" t="n">
        <v>2205779.61</v>
      </c>
      <c r="L72" s="3" t="n">
        <v>2709245.06</v>
      </c>
      <c r="M72" s="3" t="n">
        <v>2421526.24</v>
      </c>
      <c r="N72" s="3" t="n">
        <v>0</v>
      </c>
      <c r="O72" s="3" t="n">
        <v>2770741.29</v>
      </c>
      <c r="P72" s="3" t="n">
        <v>8576422.43</v>
      </c>
      <c r="Q72" s="3" t="n">
        <v>563951125.3</v>
      </c>
    </row>
    <row r="73" customFormat="false" ht="15" hidden="false" customHeight="false" outlineLevel="0" collapsed="false">
      <c r="A73" s="2" t="s">
        <v>82</v>
      </c>
      <c r="B73" s="3" t="n">
        <v>142172751.36</v>
      </c>
      <c r="C73" s="3" t="n">
        <v>82673882.65</v>
      </c>
      <c r="D73" s="3" t="n">
        <v>6269451.49</v>
      </c>
      <c r="E73" s="3" t="n">
        <v>66659725.51</v>
      </c>
      <c r="F73" s="3" t="n">
        <v>32317439.91</v>
      </c>
      <c r="G73" s="3" t="n">
        <v>18391196.2</v>
      </c>
      <c r="H73" s="3" t="n">
        <v>29858824.6</v>
      </c>
      <c r="I73" s="3" t="n">
        <v>22842109.22</v>
      </c>
      <c r="J73" s="3" t="n">
        <v>28421516.23</v>
      </c>
      <c r="K73" s="3" t="n">
        <v>11537896.28</v>
      </c>
      <c r="L73" s="3" t="n">
        <v>3334214.94</v>
      </c>
      <c r="M73" s="3" t="n">
        <v>7890950.52</v>
      </c>
      <c r="N73" s="3" t="n">
        <v>0</v>
      </c>
      <c r="O73" s="3" t="n">
        <v>376695.88</v>
      </c>
      <c r="P73" s="3" t="n">
        <v>6292665.78</v>
      </c>
      <c r="Q73" s="3" t="n">
        <v>503039399.1</v>
      </c>
    </row>
    <row r="74" customFormat="false" ht="15" hidden="false" customHeight="false" outlineLevel="0" collapsed="false">
      <c r="A74" s="2" t="s">
        <v>83</v>
      </c>
      <c r="B74" s="3" t="n">
        <v>152914645.94</v>
      </c>
      <c r="C74" s="3" t="n">
        <v>112542902.16</v>
      </c>
      <c r="D74" s="3" t="n">
        <v>71756066.73</v>
      </c>
      <c r="E74" s="3" t="n">
        <v>56974128.34</v>
      </c>
      <c r="F74" s="3" t="n">
        <v>35410458.6</v>
      </c>
      <c r="G74" s="3" t="n">
        <v>26578991.53</v>
      </c>
      <c r="H74" s="3" t="n">
        <v>37303082.83</v>
      </c>
      <c r="I74" s="3" t="n">
        <v>27805060.46</v>
      </c>
      <c r="J74" s="3" t="n">
        <v>24188784.65</v>
      </c>
      <c r="K74" s="3" t="n">
        <v>2041528.87</v>
      </c>
      <c r="L74" s="3" t="n">
        <v>2562206.5</v>
      </c>
      <c r="M74" s="3" t="n">
        <v>11855718.79</v>
      </c>
      <c r="N74" s="3" t="n">
        <v>0</v>
      </c>
      <c r="O74" s="3" t="n">
        <v>2850759.46</v>
      </c>
      <c r="P74" s="3" t="n">
        <v>6573964.98</v>
      </c>
      <c r="Q74" s="3" t="n">
        <v>630984392.4</v>
      </c>
    </row>
    <row r="75" customFormat="false" ht="15" hidden="false" customHeight="false" outlineLevel="0" collapsed="false">
      <c r="A75" s="2" t="s">
        <v>84</v>
      </c>
      <c r="B75" s="3" t="n">
        <v>84593228.03</v>
      </c>
      <c r="C75" s="3" t="n">
        <v>73010681.64</v>
      </c>
      <c r="D75" s="3" t="n">
        <v>46011118.59</v>
      </c>
      <c r="E75" s="3" t="n">
        <v>45290419.52</v>
      </c>
      <c r="F75" s="3" t="n">
        <v>22265469.64</v>
      </c>
      <c r="G75" s="3" t="n">
        <v>19483569.63</v>
      </c>
      <c r="H75" s="3" t="n">
        <v>39295874.94</v>
      </c>
      <c r="I75" s="3" t="n">
        <v>17567276.44</v>
      </c>
      <c r="J75" s="3" t="n">
        <v>25534566.41</v>
      </c>
      <c r="K75" s="3" t="n">
        <v>5035838.23</v>
      </c>
      <c r="L75" s="3" t="n">
        <v>2392718.91</v>
      </c>
      <c r="M75" s="3" t="n">
        <v>3748142.19</v>
      </c>
      <c r="N75" s="3" t="n">
        <v>0</v>
      </c>
      <c r="O75" s="3" t="n">
        <v>2513365.68</v>
      </c>
      <c r="P75" s="3" t="n">
        <v>12115144.5</v>
      </c>
      <c r="Q75" s="3" t="n">
        <v>428170016.54</v>
      </c>
    </row>
    <row r="76" customFormat="false" ht="15" hidden="false" customHeight="false" outlineLevel="0" collapsed="false">
      <c r="A76" s="2" t="s">
        <v>85</v>
      </c>
      <c r="B76" s="3" t="n">
        <v>73340962.96</v>
      </c>
      <c r="C76" s="3" t="n">
        <v>52996959.22</v>
      </c>
      <c r="D76" s="3" t="n">
        <v>68397384.93</v>
      </c>
      <c r="E76" s="3" t="n">
        <v>34747543.85</v>
      </c>
      <c r="F76" s="3" t="n">
        <v>15865186.4</v>
      </c>
      <c r="G76" s="3" t="n">
        <v>15865665.96</v>
      </c>
      <c r="H76" s="3" t="n">
        <v>2952677.91</v>
      </c>
      <c r="I76" s="3" t="n">
        <v>12074998.92</v>
      </c>
      <c r="J76" s="3" t="n">
        <v>20984384.78</v>
      </c>
      <c r="K76" s="3" t="n">
        <v>3901991.76</v>
      </c>
      <c r="L76" s="3" t="n">
        <v>1257399.88</v>
      </c>
      <c r="M76" s="3" t="n">
        <v>68189540.11</v>
      </c>
      <c r="N76" s="3" t="n">
        <v>0</v>
      </c>
      <c r="O76" s="3" t="n">
        <v>514244.99</v>
      </c>
      <c r="P76" s="3" t="n">
        <v>10478225.13</v>
      </c>
      <c r="Q76" s="3" t="n">
        <v>401875236.13</v>
      </c>
    </row>
    <row r="77" customFormat="false" ht="15" hidden="false" customHeight="false" outlineLevel="0" collapsed="false">
      <c r="A77" s="2" t="s">
        <v>86</v>
      </c>
      <c r="B77" s="3" t="n">
        <v>144584461.81</v>
      </c>
      <c r="C77" s="3" t="n">
        <v>63734002.42</v>
      </c>
      <c r="D77" s="3" t="n">
        <v>57528743.54</v>
      </c>
      <c r="E77" s="3" t="n">
        <v>58584486.31</v>
      </c>
      <c r="F77" s="3" t="n">
        <v>27427472.98</v>
      </c>
      <c r="G77" s="3" t="n">
        <v>22635079.22</v>
      </c>
      <c r="H77" s="3" t="n">
        <v>854046.6</v>
      </c>
      <c r="I77" s="3" t="n">
        <v>27175195.49</v>
      </c>
      <c r="J77" s="3" t="n">
        <v>23321530.97</v>
      </c>
      <c r="K77" s="3" t="n">
        <v>15680428.9</v>
      </c>
      <c r="L77" s="3" t="n">
        <v>3595444.57</v>
      </c>
      <c r="M77" s="3" t="n">
        <v>2782637.26</v>
      </c>
      <c r="N77" s="3" t="n">
        <v>0</v>
      </c>
      <c r="O77" s="3" t="n">
        <v>39343399.45</v>
      </c>
      <c r="P77" s="3" t="n">
        <v>11251468.65</v>
      </c>
      <c r="Q77" s="3" t="n">
        <v>522780892.94</v>
      </c>
    </row>
    <row r="78" customFormat="false" ht="15" hidden="false" customHeight="false" outlineLevel="0" collapsed="false">
      <c r="A78" s="2" t="s">
        <v>87</v>
      </c>
      <c r="B78" s="3" t="n">
        <v>141431132.77</v>
      </c>
      <c r="C78" s="3" t="n">
        <v>73139392.48</v>
      </c>
      <c r="D78" s="3" t="n">
        <v>81387195.47</v>
      </c>
      <c r="E78" s="3" t="n">
        <v>76709100.45</v>
      </c>
      <c r="F78" s="3" t="n">
        <v>32977483.01</v>
      </c>
      <c r="G78" s="3" t="n">
        <v>24624665.54</v>
      </c>
      <c r="H78" s="3" t="n">
        <v>36790897.55</v>
      </c>
      <c r="I78" s="3" t="n">
        <v>26530594.82</v>
      </c>
      <c r="J78" s="3" t="n">
        <v>22485959.19</v>
      </c>
      <c r="K78" s="3" t="n">
        <v>2061447.29</v>
      </c>
      <c r="L78" s="3" t="n">
        <v>2867175.25</v>
      </c>
      <c r="M78" s="3" t="n">
        <v>3557780.74</v>
      </c>
      <c r="N78" s="3" t="n">
        <v>0</v>
      </c>
      <c r="O78" s="3" t="n">
        <v>2578318.79</v>
      </c>
      <c r="P78" s="3" t="n">
        <v>8136302.07</v>
      </c>
      <c r="Q78" s="3" t="n">
        <v>570181131.84</v>
      </c>
    </row>
    <row r="79" customFormat="false" ht="15" hidden="false" customHeight="false" outlineLevel="0" collapsed="false">
      <c r="A79" s="2" t="s">
        <v>88</v>
      </c>
      <c r="B79" s="3" t="n">
        <v>192261161.22</v>
      </c>
      <c r="C79" s="3" t="n">
        <v>75187400.77</v>
      </c>
      <c r="D79" s="3" t="n">
        <v>101365910.31</v>
      </c>
      <c r="E79" s="3" t="n">
        <v>76414204.46</v>
      </c>
      <c r="F79" s="3" t="n">
        <v>41450046.95</v>
      </c>
      <c r="G79" s="3" t="n">
        <v>24805802.27</v>
      </c>
      <c r="H79" s="3" t="n">
        <v>40773355.34</v>
      </c>
      <c r="I79" s="3" t="n">
        <v>37911625.99</v>
      </c>
      <c r="J79" s="3" t="n">
        <v>26312256.54</v>
      </c>
      <c r="K79" s="3" t="n">
        <v>2454542.67</v>
      </c>
      <c r="L79" s="3" t="n">
        <v>4171128.53</v>
      </c>
      <c r="M79" s="3" t="n">
        <v>8164304.9</v>
      </c>
      <c r="N79" s="3" t="n">
        <v>0</v>
      </c>
      <c r="O79" s="3" t="n">
        <v>2421097.18</v>
      </c>
      <c r="P79" s="3" t="n">
        <v>10154385.29</v>
      </c>
      <c r="Q79" s="3" t="n">
        <v>695729257.35</v>
      </c>
    </row>
    <row r="80" customFormat="false" ht="15" hidden="false" customHeight="false" outlineLevel="0" collapsed="false">
      <c r="A80" s="2" t="s">
        <v>89</v>
      </c>
      <c r="B80" s="3" t="n">
        <v>182973751.4</v>
      </c>
      <c r="C80" s="3" t="n">
        <v>96929180.55</v>
      </c>
      <c r="D80" s="3" t="n">
        <v>83398981.03</v>
      </c>
      <c r="E80" s="3" t="n">
        <v>78444791.75</v>
      </c>
      <c r="F80" s="3" t="n">
        <v>28107239.24</v>
      </c>
      <c r="G80" s="3" t="n">
        <v>23392209.49</v>
      </c>
      <c r="H80" s="3" t="n">
        <v>43408086.85</v>
      </c>
      <c r="I80" s="3" t="n">
        <v>22956062.42</v>
      </c>
      <c r="J80" s="3" t="n">
        <v>38119399.73</v>
      </c>
      <c r="K80" s="3" t="n">
        <v>2625097.57</v>
      </c>
      <c r="L80" s="3" t="n">
        <v>8636983.66</v>
      </c>
      <c r="M80" s="3" t="n">
        <v>4543621.91</v>
      </c>
      <c r="N80" s="3" t="n">
        <v>0</v>
      </c>
      <c r="O80" s="3" t="n">
        <v>5514749.14</v>
      </c>
      <c r="P80" s="3" t="n">
        <v>8228647.02</v>
      </c>
      <c r="Q80" s="3" t="n">
        <v>672367980.66</v>
      </c>
    </row>
    <row r="81" customFormat="false" ht="15" hidden="false" customHeight="false" outlineLevel="0" collapsed="false">
      <c r="A81" s="2" t="s">
        <v>90</v>
      </c>
      <c r="B81" s="3" t="n">
        <v>127640215.42</v>
      </c>
      <c r="C81" s="3" t="n">
        <v>72599914.55</v>
      </c>
      <c r="D81" s="3" t="n">
        <v>54469119.7</v>
      </c>
      <c r="E81" s="3" t="n">
        <v>48174107.43</v>
      </c>
      <c r="F81" s="3" t="n">
        <v>27383577.5</v>
      </c>
      <c r="G81" s="3" t="n">
        <v>20883192.73</v>
      </c>
      <c r="H81" s="3" t="n">
        <v>39324955.08</v>
      </c>
      <c r="I81" s="3" t="n">
        <v>24606504.28</v>
      </c>
      <c r="J81" s="3" t="n">
        <v>24894953.67</v>
      </c>
      <c r="K81" s="3" t="n">
        <v>2379572.43</v>
      </c>
      <c r="L81" s="3" t="n">
        <v>3187639.95</v>
      </c>
      <c r="M81" s="3" t="n">
        <v>2408438.88</v>
      </c>
      <c r="N81" s="3" t="n">
        <v>0</v>
      </c>
      <c r="O81" s="3" t="n">
        <v>471546.66</v>
      </c>
      <c r="P81" s="3" t="n">
        <v>6803705.78</v>
      </c>
      <c r="Q81" s="3" t="n">
        <v>508342225.93</v>
      </c>
    </row>
    <row r="82" customFormat="false" ht="15" hidden="false" customHeight="false" outlineLevel="0" collapsed="false">
      <c r="A82" s="2" t="s">
        <v>91</v>
      </c>
      <c r="B82" s="3" t="n">
        <v>49004258.33</v>
      </c>
      <c r="C82" s="3" t="n">
        <v>32059365.47</v>
      </c>
      <c r="D82" s="3" t="n">
        <v>28323628.98</v>
      </c>
      <c r="E82" s="3" t="n">
        <v>22465121.5</v>
      </c>
      <c r="F82" s="3" t="n">
        <v>14746834.16</v>
      </c>
      <c r="G82" s="3" t="n">
        <v>22639588.06</v>
      </c>
      <c r="H82" s="3" t="n">
        <v>33464249.32</v>
      </c>
      <c r="I82" s="3" t="n">
        <v>11861700.01</v>
      </c>
      <c r="J82" s="3" t="n">
        <v>18897000.25</v>
      </c>
      <c r="K82" s="3" t="n">
        <v>1084242.52</v>
      </c>
      <c r="L82" s="3" t="n">
        <v>1748080.04</v>
      </c>
      <c r="M82" s="3" t="n">
        <v>6793603.49</v>
      </c>
      <c r="N82" s="3" t="n">
        <v>0</v>
      </c>
      <c r="O82" s="3" t="n">
        <v>140479.76</v>
      </c>
      <c r="P82" s="3" t="n">
        <v>4103745.1</v>
      </c>
      <c r="Q82" s="3" t="n">
        <v>279496783.03</v>
      </c>
    </row>
    <row r="83" customFormat="false" ht="15" hidden="false" customHeight="false" outlineLevel="0" collapsed="false">
      <c r="A83" s="2" t="s">
        <v>92</v>
      </c>
      <c r="B83" s="3" t="n">
        <v>69826893.45</v>
      </c>
      <c r="C83" s="3" t="n">
        <v>29010162.08</v>
      </c>
      <c r="D83" s="3" t="n">
        <v>22386401.02</v>
      </c>
      <c r="E83" s="3" t="n">
        <v>27884649.01</v>
      </c>
      <c r="F83" s="3" t="n">
        <v>13305971.5</v>
      </c>
      <c r="G83" s="3" t="n">
        <v>16105287.53</v>
      </c>
      <c r="H83" s="3" t="n">
        <v>817959.8</v>
      </c>
      <c r="I83" s="3" t="n">
        <v>10675140.99</v>
      </c>
      <c r="J83" s="3" t="n">
        <v>17190463.85</v>
      </c>
      <c r="K83" s="3" t="n">
        <v>917785.26</v>
      </c>
      <c r="L83" s="3" t="n">
        <v>1268903.57</v>
      </c>
      <c r="M83" s="3" t="n">
        <v>1793923.79</v>
      </c>
      <c r="N83" s="3" t="n">
        <v>0</v>
      </c>
      <c r="O83" s="3" t="n">
        <v>390916.74</v>
      </c>
      <c r="P83" s="3" t="n">
        <v>7368248.54</v>
      </c>
      <c r="Q83" s="3" t="n">
        <v>249505071.22</v>
      </c>
    </row>
    <row r="84" customFormat="false" ht="15" hidden="false" customHeight="false" outlineLevel="0" collapsed="false">
      <c r="A84" s="2" t="s">
        <v>93</v>
      </c>
      <c r="B84" s="3" t="n">
        <v>323525857.81</v>
      </c>
      <c r="C84" s="3" t="n">
        <v>92387018.03</v>
      </c>
      <c r="D84" s="3" t="n">
        <v>67758732.04</v>
      </c>
      <c r="E84" s="3" t="n">
        <v>137933875.41</v>
      </c>
      <c r="F84" s="3" t="n">
        <v>29763674.71</v>
      </c>
      <c r="G84" s="3" t="n">
        <v>29235144.8</v>
      </c>
      <c r="H84" s="3" t="n">
        <v>29097162.88</v>
      </c>
      <c r="I84" s="3" t="n">
        <v>19694304.82</v>
      </c>
      <c r="J84" s="3" t="n">
        <v>53358406.28</v>
      </c>
      <c r="K84" s="3" t="n">
        <v>10643149.24</v>
      </c>
      <c r="L84" s="3" t="n">
        <v>3308662.26</v>
      </c>
      <c r="M84" s="3" t="n">
        <v>10000418.94</v>
      </c>
      <c r="N84" s="3" t="n">
        <v>0</v>
      </c>
      <c r="O84" s="3" t="n">
        <v>3258406.71</v>
      </c>
      <c r="P84" s="3" t="n">
        <v>11721968.13</v>
      </c>
      <c r="Q84" s="3" t="n">
        <v>877244427.79</v>
      </c>
    </row>
    <row r="85" customFormat="false" ht="15" hidden="false" customHeight="false" outlineLevel="0" collapsed="false">
      <c r="A85" s="2" t="s">
        <v>94</v>
      </c>
      <c r="B85" s="3" t="n">
        <v>329893335.84</v>
      </c>
      <c r="C85" s="3" t="n">
        <v>73262229.37</v>
      </c>
      <c r="D85" s="3" t="n">
        <v>42835494.27</v>
      </c>
      <c r="E85" s="3" t="n">
        <v>124553541.53</v>
      </c>
      <c r="F85" s="3" t="n">
        <v>27516477.43</v>
      </c>
      <c r="G85" s="3" t="n">
        <v>25413125.97</v>
      </c>
      <c r="H85" s="3" t="n">
        <v>1286380.79</v>
      </c>
      <c r="I85" s="3" t="n">
        <v>15672129.96</v>
      </c>
      <c r="J85" s="3" t="n">
        <v>33810308.25</v>
      </c>
      <c r="K85" s="3" t="n">
        <v>10906186.01</v>
      </c>
      <c r="L85" s="3" t="n">
        <v>2254524.51</v>
      </c>
      <c r="M85" s="3" t="n">
        <v>13373621.05</v>
      </c>
      <c r="N85" s="3" t="n">
        <v>0</v>
      </c>
      <c r="O85" s="3" t="n">
        <v>3118791.25</v>
      </c>
      <c r="P85" s="3" t="n">
        <v>8063362.08</v>
      </c>
      <c r="Q85" s="3" t="n">
        <v>771908056.62</v>
      </c>
    </row>
    <row r="86" customFormat="false" ht="15" hidden="false" customHeight="false" outlineLevel="0" collapsed="false">
      <c r="A86" s="2" t="s">
        <v>95</v>
      </c>
      <c r="B86" s="3" t="n">
        <v>176450558.55</v>
      </c>
      <c r="C86" s="3" t="n">
        <v>80234497.29</v>
      </c>
      <c r="D86" s="3" t="n">
        <v>241441131.9</v>
      </c>
      <c r="E86" s="3" t="n">
        <v>70464111.96</v>
      </c>
      <c r="F86" s="3" t="n">
        <v>36268111.42</v>
      </c>
      <c r="G86" s="3" t="n">
        <v>24441404.27</v>
      </c>
      <c r="H86" s="3" t="n">
        <v>56724403.78</v>
      </c>
      <c r="I86" s="3" t="n">
        <v>27627863.54</v>
      </c>
      <c r="J86" s="3" t="n">
        <v>38259937.14</v>
      </c>
      <c r="K86" s="3" t="n">
        <v>2978234.43</v>
      </c>
      <c r="L86" s="3" t="n">
        <v>3544423.68</v>
      </c>
      <c r="M86" s="3" t="n">
        <v>9335894.32</v>
      </c>
      <c r="N86" s="3" t="n">
        <v>0</v>
      </c>
      <c r="O86" s="3" t="n">
        <v>46342051.42</v>
      </c>
      <c r="P86" s="3" t="n">
        <v>16373403.03</v>
      </c>
      <c r="Q86" s="3" t="n">
        <v>917582088.46</v>
      </c>
    </row>
    <row r="87" customFormat="false" ht="15" hidden="false" customHeight="false" outlineLevel="0" collapsed="false">
      <c r="A87" s="2" t="s">
        <v>96</v>
      </c>
      <c r="B87" s="3" t="n">
        <v>229491242.03</v>
      </c>
      <c r="C87" s="3" t="n">
        <v>107513264.21</v>
      </c>
      <c r="D87" s="3" t="n">
        <v>66098554.22</v>
      </c>
      <c r="E87" s="3" t="n">
        <v>91889013.85</v>
      </c>
      <c r="F87" s="3" t="n">
        <v>24769422.82</v>
      </c>
      <c r="G87" s="3" t="n">
        <v>23887880.67</v>
      </c>
      <c r="H87" s="3" t="n">
        <v>76660698.94</v>
      </c>
      <c r="I87" s="3" t="n">
        <v>18173781.47</v>
      </c>
      <c r="J87" s="3" t="n">
        <v>52254032.14</v>
      </c>
      <c r="K87" s="3" t="n">
        <v>2876448.34</v>
      </c>
      <c r="L87" s="3" t="n">
        <v>4340251.52</v>
      </c>
      <c r="M87" s="3" t="n">
        <v>5990314.2</v>
      </c>
      <c r="N87" s="3" t="n">
        <v>0</v>
      </c>
      <c r="O87" s="3" t="n">
        <v>898975.3</v>
      </c>
      <c r="P87" s="3" t="n">
        <v>15060955.72</v>
      </c>
      <c r="Q87" s="3" t="n">
        <v>801171076.14</v>
      </c>
    </row>
    <row r="88" customFormat="false" ht="15" hidden="false" customHeight="false" outlineLevel="0" collapsed="false">
      <c r="A88" s="2" t="s">
        <v>97</v>
      </c>
      <c r="B88" s="3" t="n">
        <v>287355129.41</v>
      </c>
      <c r="C88" s="3" t="n">
        <v>89950811.27</v>
      </c>
      <c r="D88" s="3" t="n">
        <v>70066084.35</v>
      </c>
      <c r="E88" s="3" t="n">
        <v>118529143.37</v>
      </c>
      <c r="F88" s="3" t="n">
        <v>31214946.19</v>
      </c>
      <c r="G88" s="3" t="n">
        <v>19519947.52</v>
      </c>
      <c r="H88" s="3" t="n">
        <v>71135244.71</v>
      </c>
      <c r="I88" s="3" t="n">
        <v>20128532.9</v>
      </c>
      <c r="J88" s="3" t="n">
        <v>40203575.73</v>
      </c>
      <c r="K88" s="3" t="n">
        <v>1016648.45</v>
      </c>
      <c r="L88" s="3" t="n">
        <v>3822224.48</v>
      </c>
      <c r="M88" s="3" t="n">
        <v>5686004.29</v>
      </c>
      <c r="N88" s="3" t="n">
        <v>0</v>
      </c>
      <c r="O88" s="3" t="n">
        <v>1390764.25</v>
      </c>
      <c r="P88" s="3" t="n">
        <v>9711399.51</v>
      </c>
      <c r="Q88" s="3" t="n">
        <v>823648698.92</v>
      </c>
    </row>
    <row r="89" customFormat="false" ht="15" hidden="false" customHeight="false" outlineLevel="0" collapsed="false">
      <c r="A89" s="2" t="s">
        <v>98</v>
      </c>
      <c r="B89" s="3" t="n">
        <v>192863950.42</v>
      </c>
      <c r="C89" s="3" t="n">
        <v>39819244.55</v>
      </c>
      <c r="D89" s="3" t="n">
        <v>50240806.59</v>
      </c>
      <c r="E89" s="3" t="n">
        <v>61372886.81</v>
      </c>
      <c r="F89" s="3" t="n">
        <v>17992738.55</v>
      </c>
      <c r="G89" s="3" t="n">
        <v>14742135.79</v>
      </c>
      <c r="H89" s="3" t="n">
        <v>44236550.99</v>
      </c>
      <c r="I89" s="3" t="n">
        <v>14394197.87</v>
      </c>
      <c r="J89" s="3" t="n">
        <v>27429326.94</v>
      </c>
      <c r="K89" s="3" t="n">
        <v>1634289.39</v>
      </c>
      <c r="L89" s="3" t="n">
        <v>1891232.06</v>
      </c>
      <c r="M89" s="3" t="n">
        <v>1421889.24</v>
      </c>
      <c r="N89" s="3" t="n">
        <v>0</v>
      </c>
      <c r="O89" s="3" t="n">
        <v>568038.47</v>
      </c>
      <c r="P89" s="3" t="n">
        <v>5945596.85</v>
      </c>
      <c r="Q89" s="3" t="n">
        <v>515992368.55</v>
      </c>
    </row>
    <row r="90" customFormat="false" ht="15" hidden="false" customHeight="false" outlineLevel="0" collapsed="false">
      <c r="A90" s="2" t="s">
        <v>99</v>
      </c>
      <c r="B90" s="3" t="n">
        <v>220900976.88</v>
      </c>
      <c r="C90" s="3" t="n">
        <v>42917205.93</v>
      </c>
      <c r="D90" s="3" t="n">
        <v>32131331.58</v>
      </c>
      <c r="E90" s="3" t="n">
        <v>67416849.8</v>
      </c>
      <c r="F90" s="3" t="n">
        <v>13903925.23</v>
      </c>
      <c r="G90" s="3" t="n">
        <v>12745831.36</v>
      </c>
      <c r="H90" s="3" t="n">
        <v>43886096.61</v>
      </c>
      <c r="I90" s="3" t="n">
        <v>8104907.31</v>
      </c>
      <c r="J90" s="3" t="n">
        <v>26181918.07</v>
      </c>
      <c r="K90" s="3" t="n">
        <v>899617.38</v>
      </c>
      <c r="L90" s="3" t="n">
        <v>1579341.64</v>
      </c>
      <c r="M90" s="3" t="n">
        <v>3344074.78</v>
      </c>
      <c r="N90" s="3" t="n">
        <v>0</v>
      </c>
      <c r="O90" s="3" t="n">
        <v>288387.59</v>
      </c>
      <c r="P90" s="3" t="n">
        <v>7322717.43</v>
      </c>
      <c r="Q90" s="3" t="n">
        <v>520989961.18</v>
      </c>
    </row>
    <row r="91" customFormat="false" ht="15" hidden="false" customHeight="false" outlineLevel="0" collapsed="false">
      <c r="A91" s="2" t="s">
        <v>100</v>
      </c>
      <c r="B91" s="3" t="n">
        <v>270492475.29</v>
      </c>
      <c r="C91" s="3" t="n">
        <v>96735994.4</v>
      </c>
      <c r="D91" s="3" t="n">
        <v>68602175.41</v>
      </c>
      <c r="E91" s="3" t="n">
        <v>83154862.54</v>
      </c>
      <c r="F91" s="3" t="n">
        <v>21526514.7</v>
      </c>
      <c r="G91" s="3" t="n">
        <v>16045682.01</v>
      </c>
      <c r="H91" s="3" t="n">
        <v>42255900.12</v>
      </c>
      <c r="I91" s="3" t="n">
        <v>9991158.65</v>
      </c>
      <c r="J91" s="3" t="n">
        <v>59482459.62</v>
      </c>
      <c r="K91" s="3" t="n">
        <v>1193025.38</v>
      </c>
      <c r="L91" s="3" t="n">
        <v>2695671.99</v>
      </c>
      <c r="M91" s="3" t="n">
        <v>3973711</v>
      </c>
      <c r="N91" s="3" t="n">
        <v>0</v>
      </c>
      <c r="O91" s="3" t="n">
        <v>870282.76</v>
      </c>
      <c r="P91" s="3" t="n">
        <v>8748396.73</v>
      </c>
      <c r="Q91" s="3" t="n">
        <v>729594708.1</v>
      </c>
    </row>
    <row r="92" customFormat="false" ht="15" hidden="false" customHeight="false" outlineLevel="0" collapsed="false">
      <c r="A92" s="2" t="s">
        <v>101</v>
      </c>
      <c r="B92" s="3" t="n">
        <v>329679123.9</v>
      </c>
      <c r="C92" s="3" t="n">
        <v>73156854.94</v>
      </c>
      <c r="D92" s="3" t="n">
        <v>56031708.96</v>
      </c>
      <c r="E92" s="3" t="n">
        <v>110184741.81</v>
      </c>
      <c r="F92" s="3" t="n">
        <v>38787418.2</v>
      </c>
      <c r="G92" s="3" t="n">
        <v>19567205.51</v>
      </c>
      <c r="H92" s="3" t="n">
        <v>29464227.98</v>
      </c>
      <c r="I92" s="3" t="n">
        <v>11835892.77</v>
      </c>
      <c r="J92" s="3" t="n">
        <v>27586330.44</v>
      </c>
      <c r="K92" s="3" t="n">
        <v>5886229.88</v>
      </c>
      <c r="L92" s="3" t="n">
        <v>5450213.16</v>
      </c>
      <c r="M92" s="3" t="n">
        <v>7035350.69</v>
      </c>
      <c r="N92" s="3" t="n">
        <v>0</v>
      </c>
      <c r="O92" s="3" t="n">
        <v>2587374.63</v>
      </c>
      <c r="P92" s="3" t="n">
        <v>9226751.76</v>
      </c>
      <c r="Q92" s="3" t="n">
        <v>783023122.93</v>
      </c>
    </row>
    <row r="93" customFormat="false" ht="15" hidden="false" customHeight="false" outlineLevel="0" collapsed="false">
      <c r="A93" s="2" t="s">
        <v>102</v>
      </c>
      <c r="B93" s="3" t="n">
        <v>336530107.24</v>
      </c>
      <c r="C93" s="3" t="n">
        <v>140955652.7</v>
      </c>
      <c r="D93" s="3" t="n">
        <v>65066700.43</v>
      </c>
      <c r="E93" s="3" t="n">
        <v>148168366.99</v>
      </c>
      <c r="F93" s="3" t="n">
        <v>52956332.74</v>
      </c>
      <c r="G93" s="3" t="n">
        <v>26281422.08</v>
      </c>
      <c r="H93" s="3" t="n">
        <v>22096470.2</v>
      </c>
      <c r="I93" s="3" t="n">
        <v>20111727.7</v>
      </c>
      <c r="J93" s="3" t="n">
        <v>42206456.79</v>
      </c>
      <c r="K93" s="3" t="n">
        <v>1989511.54</v>
      </c>
      <c r="L93" s="3" t="n">
        <v>4967755.9</v>
      </c>
      <c r="M93" s="3" t="n">
        <v>5615752.05</v>
      </c>
      <c r="N93" s="3" t="n">
        <v>0</v>
      </c>
      <c r="O93" s="3" t="n">
        <v>375114.98</v>
      </c>
      <c r="P93" s="3" t="n">
        <v>10765454.52</v>
      </c>
      <c r="Q93" s="3" t="n">
        <v>922529233.13</v>
      </c>
    </row>
    <row r="94" customFormat="false" ht="15" hidden="false" customHeight="false" outlineLevel="0" collapsed="false">
      <c r="A94" s="2" t="s">
        <v>103</v>
      </c>
      <c r="B94" s="3" t="n">
        <v>271025160.44</v>
      </c>
      <c r="C94" s="3" t="n">
        <v>150191756.01</v>
      </c>
      <c r="D94" s="3" t="n">
        <v>73471729.75</v>
      </c>
      <c r="E94" s="3" t="n">
        <v>145674846.17</v>
      </c>
      <c r="F94" s="3" t="n">
        <v>21983730</v>
      </c>
      <c r="G94" s="3" t="n">
        <v>26151991.99</v>
      </c>
      <c r="H94" s="3" t="n">
        <v>40616577.4</v>
      </c>
      <c r="I94" s="3" t="n">
        <v>17769443.17</v>
      </c>
      <c r="J94" s="3" t="n">
        <v>46448307.35</v>
      </c>
      <c r="K94" s="3" t="n">
        <v>55555185.46</v>
      </c>
      <c r="L94" s="3" t="n">
        <v>4124082.91</v>
      </c>
      <c r="M94" s="3" t="n">
        <v>9718573.14</v>
      </c>
      <c r="N94" s="3" t="n">
        <v>0</v>
      </c>
      <c r="O94" s="3" t="n">
        <v>252082.78</v>
      </c>
      <c r="P94" s="3" t="n">
        <v>12887298.55</v>
      </c>
      <c r="Q94" s="3" t="n">
        <v>927761983.59</v>
      </c>
    </row>
    <row r="95" customFormat="false" ht="15" hidden="false" customHeight="false" outlineLevel="0" collapsed="false">
      <c r="A95" s="2" t="s">
        <v>104</v>
      </c>
      <c r="B95" s="3" t="n">
        <v>179936491.24</v>
      </c>
      <c r="C95" s="3" t="n">
        <v>125589084.32</v>
      </c>
      <c r="D95" s="3" t="n">
        <v>82486841.26</v>
      </c>
      <c r="E95" s="3" t="n">
        <v>118102526.44</v>
      </c>
      <c r="F95" s="3" t="n">
        <v>22649896.28</v>
      </c>
      <c r="G95" s="3" t="n">
        <v>24274933.69</v>
      </c>
      <c r="H95" s="3" t="n">
        <v>14505659.08</v>
      </c>
      <c r="I95" s="3" t="n">
        <v>15553536.89</v>
      </c>
      <c r="J95" s="3" t="n">
        <v>40844999.19</v>
      </c>
      <c r="K95" s="3" t="n">
        <v>82857675.7</v>
      </c>
      <c r="L95" s="3" t="n">
        <v>1267816.35</v>
      </c>
      <c r="M95" s="3" t="n">
        <v>9079031.92</v>
      </c>
      <c r="N95" s="3" t="n">
        <v>0</v>
      </c>
      <c r="O95" s="3" t="n">
        <v>5270599.64</v>
      </c>
      <c r="P95" s="3" t="n">
        <v>11745609.63</v>
      </c>
      <c r="Q95" s="3" t="n">
        <v>780860984.49</v>
      </c>
    </row>
    <row r="96" customFormat="false" ht="15" hidden="false" customHeight="false" outlineLevel="0" collapsed="false">
      <c r="A96" s="2" t="s">
        <v>105</v>
      </c>
      <c r="B96" s="3" t="n">
        <v>121577725.46</v>
      </c>
      <c r="C96" s="3" t="n">
        <v>57948614.08</v>
      </c>
      <c r="D96" s="3" t="n">
        <v>35897545.31</v>
      </c>
      <c r="E96" s="3" t="n">
        <v>45920203.81</v>
      </c>
      <c r="F96" s="3" t="n">
        <v>35022413.48</v>
      </c>
      <c r="G96" s="3" t="n">
        <v>13113766.69</v>
      </c>
      <c r="H96" s="3" t="n">
        <v>61430056.97</v>
      </c>
      <c r="I96" s="3" t="n">
        <v>9189828.68</v>
      </c>
      <c r="J96" s="3" t="n">
        <v>14566467.22</v>
      </c>
      <c r="K96" s="3" t="n">
        <v>1464318.47</v>
      </c>
      <c r="L96" s="3" t="n">
        <v>26.64</v>
      </c>
      <c r="M96" s="3" t="n">
        <v>4017135.38</v>
      </c>
      <c r="N96" s="3" t="n">
        <v>0</v>
      </c>
      <c r="O96" s="3" t="n">
        <v>558036.69</v>
      </c>
      <c r="P96" s="3" t="n">
        <v>12402121.57</v>
      </c>
      <c r="Q96" s="3" t="n">
        <v>434504309.25</v>
      </c>
    </row>
    <row r="97" customFormat="false" ht="15" hidden="false" customHeight="false" outlineLevel="0" collapsed="false">
      <c r="A97" s="2" t="s">
        <v>106</v>
      </c>
      <c r="B97" s="3" t="n">
        <v>142876236.55</v>
      </c>
      <c r="C97" s="3" t="n">
        <v>72044000.95</v>
      </c>
      <c r="D97" s="3" t="n">
        <v>91466524.33</v>
      </c>
      <c r="E97" s="3" t="n">
        <v>67341214.49</v>
      </c>
      <c r="F97" s="3" t="n">
        <v>19176414.85</v>
      </c>
      <c r="G97" s="3" t="n">
        <v>25039039.91</v>
      </c>
      <c r="H97" s="3" t="n">
        <v>67658049.1</v>
      </c>
      <c r="I97" s="3" t="n">
        <v>13294692.27</v>
      </c>
      <c r="J97" s="3" t="n">
        <v>28352564.69</v>
      </c>
      <c r="K97" s="3" t="n">
        <v>1528119.06</v>
      </c>
      <c r="L97" s="3" t="n">
        <v>0</v>
      </c>
      <c r="M97" s="3" t="n">
        <v>7197306.87</v>
      </c>
      <c r="N97" s="3" t="n">
        <v>0</v>
      </c>
      <c r="O97" s="3" t="n">
        <v>183554.5</v>
      </c>
      <c r="P97" s="3" t="n">
        <v>10201533.15</v>
      </c>
      <c r="Q97" s="3" t="n">
        <v>589717404.52</v>
      </c>
    </row>
    <row r="98" customFormat="false" ht="15" hidden="false" customHeight="false" outlineLevel="0" collapsed="false">
      <c r="A98" s="2" t="s">
        <v>107</v>
      </c>
      <c r="B98" s="3" t="n">
        <v>373931549.18</v>
      </c>
      <c r="C98" s="3" t="n">
        <v>175806857.45</v>
      </c>
      <c r="D98" s="3" t="n">
        <v>155741618.38</v>
      </c>
      <c r="E98" s="3" t="n">
        <v>189486290.15</v>
      </c>
      <c r="F98" s="3" t="n">
        <v>41895970.59</v>
      </c>
      <c r="G98" s="3" t="n">
        <v>32792779.04</v>
      </c>
      <c r="H98" s="3" t="n">
        <v>55001571.73</v>
      </c>
      <c r="I98" s="3" t="n">
        <v>25892460.03</v>
      </c>
      <c r="J98" s="3" t="n">
        <v>53939356.3</v>
      </c>
      <c r="K98" s="3" t="n">
        <v>5569570.63</v>
      </c>
      <c r="L98" s="3" t="n">
        <v>0</v>
      </c>
      <c r="M98" s="3" t="n">
        <v>7419261.8</v>
      </c>
      <c r="N98" s="3" t="n">
        <v>0</v>
      </c>
      <c r="O98" s="3" t="n">
        <v>1166210.02</v>
      </c>
      <c r="P98" s="3" t="n">
        <v>11767191.78</v>
      </c>
      <c r="Q98" s="3" t="n">
        <v>1198627624.28</v>
      </c>
    </row>
    <row r="99" customFormat="false" ht="15" hidden="false" customHeight="false" outlineLevel="0" collapsed="false">
      <c r="A99" s="2" t="s">
        <v>108</v>
      </c>
      <c r="B99" s="3" t="n">
        <v>189224843.23</v>
      </c>
      <c r="C99" s="3" t="n">
        <v>106688447.73</v>
      </c>
      <c r="D99" s="3" t="n">
        <v>73616127.99</v>
      </c>
      <c r="E99" s="3" t="n">
        <v>87661095.55</v>
      </c>
      <c r="F99" s="3" t="n">
        <v>24803205.39</v>
      </c>
      <c r="G99" s="3" t="n">
        <v>23495813.69</v>
      </c>
      <c r="H99" s="3" t="n">
        <v>49015917.74</v>
      </c>
      <c r="I99" s="3" t="n">
        <v>14501837.33</v>
      </c>
      <c r="J99" s="3" t="n">
        <v>32411583.2</v>
      </c>
      <c r="K99" s="3" t="n">
        <v>574588.98</v>
      </c>
      <c r="L99" s="3" t="n">
        <v>0</v>
      </c>
      <c r="M99" s="3" t="n">
        <v>6669393.84</v>
      </c>
      <c r="N99" s="3" t="n">
        <v>0</v>
      </c>
      <c r="O99" s="3" t="n">
        <v>1455289</v>
      </c>
      <c r="P99" s="3" t="n">
        <v>2827956.51</v>
      </c>
      <c r="Q99" s="3" t="n">
        <v>658975120.08</v>
      </c>
    </row>
    <row r="100" customFormat="false" ht="15" hidden="false" customHeight="false" outlineLevel="0" collapsed="false">
      <c r="A100" s="2" t="s">
        <v>109</v>
      </c>
      <c r="B100" s="3" t="n">
        <v>194090944.38</v>
      </c>
      <c r="C100" s="3" t="n">
        <v>88671616.23</v>
      </c>
      <c r="D100" s="3" t="n">
        <v>131582691.94</v>
      </c>
      <c r="E100" s="3" t="n">
        <v>92830860.93</v>
      </c>
      <c r="F100" s="3" t="n">
        <v>29514095.82</v>
      </c>
      <c r="G100" s="3" t="n">
        <v>35329777.04</v>
      </c>
      <c r="H100" s="3" t="n">
        <v>16930434.13</v>
      </c>
      <c r="I100" s="3" t="n">
        <v>22046147.47</v>
      </c>
      <c r="J100" s="3" t="n">
        <v>37053004.67</v>
      </c>
      <c r="K100" s="3" t="n">
        <v>5121764.34</v>
      </c>
      <c r="L100" s="3" t="n">
        <v>0</v>
      </c>
      <c r="M100" s="3" t="n">
        <v>47160991.58</v>
      </c>
      <c r="N100" s="3" t="n">
        <v>0</v>
      </c>
      <c r="O100" s="3" t="n">
        <v>6745928.94</v>
      </c>
      <c r="P100" s="3" t="n">
        <v>12300815.79</v>
      </c>
      <c r="Q100" s="3" t="n">
        <v>773878810.04</v>
      </c>
    </row>
    <row r="101" customFormat="false" ht="15" hidden="false" customHeight="false" outlineLevel="0" collapsed="false">
      <c r="A101" s="2" t="s">
        <v>110</v>
      </c>
      <c r="B101" s="3" t="n">
        <v>224364888.14</v>
      </c>
      <c r="C101" s="3" t="n">
        <v>129166024.58</v>
      </c>
      <c r="D101" s="3" t="n">
        <v>75778136.49</v>
      </c>
      <c r="E101" s="3" t="n">
        <v>102968282.48</v>
      </c>
      <c r="F101" s="3" t="n">
        <v>30432982.25</v>
      </c>
      <c r="G101" s="3" t="n">
        <v>28312426.66</v>
      </c>
      <c r="H101" s="3" t="n">
        <v>998130.59</v>
      </c>
      <c r="I101" s="3" t="n">
        <v>16355658.3</v>
      </c>
      <c r="J101" s="3" t="n">
        <v>37212129.15</v>
      </c>
      <c r="K101" s="3" t="n">
        <v>2179135.55</v>
      </c>
      <c r="L101" s="3" t="n">
        <v>0</v>
      </c>
      <c r="M101" s="3" t="n">
        <v>6211943.15</v>
      </c>
      <c r="N101" s="3" t="n">
        <v>0</v>
      </c>
      <c r="O101" s="3" t="n">
        <v>488579.4</v>
      </c>
      <c r="P101" s="3" t="n">
        <v>5328078.5</v>
      </c>
      <c r="Q101" s="3" t="n">
        <v>695180509.1</v>
      </c>
    </row>
    <row r="102" customFormat="false" ht="15" hidden="false" customHeight="false" outlineLevel="0" collapsed="false">
      <c r="A102" s="2" t="s">
        <v>111</v>
      </c>
      <c r="B102" s="3" t="n">
        <v>172704757.58</v>
      </c>
      <c r="C102" s="3" t="n">
        <v>97671092.1</v>
      </c>
      <c r="D102" s="3" t="n">
        <v>65392256.82</v>
      </c>
      <c r="E102" s="3" t="n">
        <v>70508164.36</v>
      </c>
      <c r="F102" s="3" t="n">
        <v>25101744.36</v>
      </c>
      <c r="G102" s="3" t="n">
        <v>20505496.13</v>
      </c>
      <c r="H102" s="3" t="n">
        <v>40607109.11</v>
      </c>
      <c r="I102" s="3" t="n">
        <v>20460084.92</v>
      </c>
      <c r="J102" s="3" t="n">
        <v>41249384.02</v>
      </c>
      <c r="K102" s="3" t="n">
        <v>2142984.8</v>
      </c>
      <c r="L102" s="3" t="n">
        <v>26.01</v>
      </c>
      <c r="M102" s="3" t="n">
        <v>4757506.73</v>
      </c>
      <c r="N102" s="3" t="n">
        <v>0</v>
      </c>
      <c r="O102" s="3" t="n">
        <v>10569852.38</v>
      </c>
      <c r="P102" s="3" t="n">
        <v>8220012.93</v>
      </c>
      <c r="Q102" s="3" t="n">
        <v>621220786.48</v>
      </c>
    </row>
    <row r="103" customFormat="false" ht="15" hidden="false" customHeight="false" outlineLevel="0" collapsed="false">
      <c r="A103" s="2" t="s">
        <v>112</v>
      </c>
      <c r="B103" s="3" t="n">
        <v>125647775.51</v>
      </c>
      <c r="C103" s="3" t="n">
        <v>74275726.85</v>
      </c>
      <c r="D103" s="3" t="n">
        <v>73810358.73</v>
      </c>
      <c r="E103" s="3" t="n">
        <v>59677766.76</v>
      </c>
      <c r="F103" s="3" t="n">
        <v>21030792.77</v>
      </c>
      <c r="G103" s="3" t="n">
        <v>19035818.09</v>
      </c>
      <c r="H103" s="3" t="n">
        <v>46840027.94</v>
      </c>
      <c r="I103" s="3" t="n">
        <v>19040741.39</v>
      </c>
      <c r="J103" s="3" t="n">
        <v>29928500.91</v>
      </c>
      <c r="K103" s="3" t="n">
        <v>801645.9</v>
      </c>
      <c r="L103" s="3" t="n">
        <v>0</v>
      </c>
      <c r="M103" s="3" t="n">
        <v>6913256.54</v>
      </c>
      <c r="N103" s="3" t="n">
        <v>0</v>
      </c>
      <c r="O103" s="3" t="n">
        <v>678323.87</v>
      </c>
      <c r="P103" s="3" t="n">
        <v>15227159.38</v>
      </c>
      <c r="Q103" s="3" t="n">
        <v>541411630.69</v>
      </c>
    </row>
    <row r="104" customFormat="false" ht="15" hidden="false" customHeight="false" outlineLevel="0" collapsed="false">
      <c r="A104" s="2" t="s">
        <v>113</v>
      </c>
      <c r="B104" s="3" t="n">
        <v>27020612</v>
      </c>
      <c r="C104" s="3" t="n">
        <v>75580135.83</v>
      </c>
      <c r="D104" s="3" t="n">
        <v>61449335.01</v>
      </c>
      <c r="E104" s="3" t="n">
        <v>70886924.66</v>
      </c>
      <c r="F104" s="3" t="n">
        <v>26289397.27</v>
      </c>
      <c r="G104" s="3" t="n">
        <v>12970293.27</v>
      </c>
      <c r="H104" s="3" t="n">
        <v>42229282.18</v>
      </c>
      <c r="I104" s="3" t="n">
        <v>13250463.31</v>
      </c>
      <c r="J104" s="3" t="n">
        <v>34094456.11</v>
      </c>
      <c r="K104" s="3" t="n">
        <v>727329.17</v>
      </c>
      <c r="L104" s="3" t="n">
        <v>202.11</v>
      </c>
      <c r="M104" s="3" t="n">
        <v>2181435.99</v>
      </c>
      <c r="N104" s="3" t="n">
        <v>0</v>
      </c>
      <c r="O104" s="3" t="n">
        <v>488612.12</v>
      </c>
      <c r="P104" s="3" t="n">
        <v>13349529.14</v>
      </c>
      <c r="Q104" s="3" t="n">
        <v>413534669.25</v>
      </c>
    </row>
    <row r="105" customFormat="false" ht="15" hidden="false" customHeight="false" outlineLevel="0" collapsed="false">
      <c r="A105" s="2" t="s">
        <v>114</v>
      </c>
      <c r="B105" s="3" t="n">
        <v>165961731.73</v>
      </c>
      <c r="C105" s="3" t="n">
        <v>81818420.58</v>
      </c>
      <c r="D105" s="3" t="n">
        <v>53580553.82</v>
      </c>
      <c r="E105" s="3" t="n">
        <v>81498285.7</v>
      </c>
      <c r="F105" s="3" t="n">
        <v>22962128.87</v>
      </c>
      <c r="G105" s="3" t="n">
        <v>17531619.23</v>
      </c>
      <c r="H105" s="3" t="n">
        <v>59376941.94</v>
      </c>
      <c r="I105" s="3" t="n">
        <v>18768709.55</v>
      </c>
      <c r="J105" s="3" t="n">
        <v>38628820.29</v>
      </c>
      <c r="K105" s="3" t="n">
        <v>3625639.51</v>
      </c>
      <c r="L105" s="3" t="n">
        <v>0</v>
      </c>
      <c r="M105" s="3" t="n">
        <v>9090009.51</v>
      </c>
      <c r="N105" s="3" t="n">
        <v>0</v>
      </c>
      <c r="O105" s="3" t="n">
        <v>11595957.89</v>
      </c>
      <c r="P105" s="3" t="n">
        <v>8877581.05</v>
      </c>
      <c r="Q105" s="3" t="n">
        <v>624012159.94</v>
      </c>
    </row>
    <row r="106" customFormat="false" ht="15" hidden="false" customHeight="false" outlineLevel="0" collapsed="false">
      <c r="A106" s="2" t="s">
        <v>115</v>
      </c>
      <c r="B106" s="3" t="n">
        <v>199801273.28</v>
      </c>
      <c r="C106" s="3" t="n">
        <v>116474610.17</v>
      </c>
      <c r="D106" s="3" t="n">
        <v>47992985.79</v>
      </c>
      <c r="E106" s="3" t="n">
        <v>62058489.28</v>
      </c>
      <c r="F106" s="3" t="n">
        <v>24444576.31</v>
      </c>
      <c r="G106" s="3" t="n">
        <v>36810517.36</v>
      </c>
      <c r="H106" s="3" t="n">
        <v>32063815.14</v>
      </c>
      <c r="I106" s="3" t="n">
        <v>23419198.46</v>
      </c>
      <c r="J106" s="3" t="n">
        <v>60931286.7</v>
      </c>
      <c r="K106" s="3" t="n">
        <v>3271443.7</v>
      </c>
      <c r="L106" s="3" t="n">
        <v>0</v>
      </c>
      <c r="M106" s="3" t="n">
        <v>4262649.36</v>
      </c>
      <c r="N106" s="3" t="n">
        <v>0</v>
      </c>
      <c r="O106" s="3" t="n">
        <v>61387536.25</v>
      </c>
      <c r="P106" s="3" t="n">
        <v>5850450</v>
      </c>
      <c r="Q106" s="3" t="n">
        <v>718360408.1</v>
      </c>
    </row>
    <row r="107" customFormat="false" ht="15" hidden="false" customHeight="false" outlineLevel="0" collapsed="false">
      <c r="A107" s="2" t="s">
        <v>116</v>
      </c>
      <c r="B107" s="3" t="n">
        <v>300280844.95</v>
      </c>
      <c r="C107" s="3" t="n">
        <v>150818507.01</v>
      </c>
      <c r="D107" s="3" t="n">
        <v>42346666.09</v>
      </c>
      <c r="E107" s="3" t="n">
        <v>124347728.32</v>
      </c>
      <c r="F107" s="3" t="n">
        <v>112120253.14</v>
      </c>
      <c r="G107" s="3" t="n">
        <v>63921669.17</v>
      </c>
      <c r="H107" s="3" t="n">
        <v>34046298.52</v>
      </c>
      <c r="I107" s="3" t="n">
        <v>17439458.75</v>
      </c>
      <c r="J107" s="3" t="n">
        <v>26139898.55</v>
      </c>
      <c r="K107" s="3" t="n">
        <v>9310638.95</v>
      </c>
      <c r="L107" s="3" t="n">
        <v>85.12</v>
      </c>
      <c r="M107" s="3" t="n">
        <v>9042631.45</v>
      </c>
      <c r="N107" s="3" t="n">
        <v>0</v>
      </c>
      <c r="O107" s="3" t="n">
        <v>73557779.67</v>
      </c>
      <c r="P107" s="3" t="n">
        <v>13859346.07</v>
      </c>
      <c r="Q107" s="3" t="n">
        <v>1015022038.43</v>
      </c>
    </row>
    <row r="108" customFormat="false" ht="15" hidden="false" customHeight="false" outlineLevel="0" collapsed="false">
      <c r="A108" s="2" t="s">
        <v>117</v>
      </c>
      <c r="B108" s="3" t="n">
        <v>202028772.89</v>
      </c>
      <c r="C108" s="3" t="n">
        <v>114626004.32</v>
      </c>
      <c r="D108" s="3" t="n">
        <v>42169408.42</v>
      </c>
      <c r="E108" s="3" t="n">
        <v>80452172.25</v>
      </c>
      <c r="F108" s="3" t="n">
        <v>28380609.5</v>
      </c>
      <c r="G108" s="3" t="n">
        <v>47815374.93</v>
      </c>
      <c r="H108" s="3" t="n">
        <v>24500363.17</v>
      </c>
      <c r="I108" s="3" t="n">
        <v>19769683.08</v>
      </c>
      <c r="J108" s="3" t="n">
        <v>23409363.09</v>
      </c>
      <c r="K108" s="3" t="n">
        <v>3278231.3</v>
      </c>
      <c r="L108" s="3" t="n">
        <v>0</v>
      </c>
      <c r="M108" s="3" t="n">
        <v>7667612.78</v>
      </c>
      <c r="N108" s="3" t="n">
        <v>0</v>
      </c>
      <c r="O108" s="3" t="n">
        <v>1604142.08</v>
      </c>
      <c r="P108" s="3" t="n">
        <v>13912035.97</v>
      </c>
      <c r="Q108" s="3" t="n">
        <v>654333716.44</v>
      </c>
    </row>
    <row r="109" customFormat="false" ht="15" hidden="false" customHeight="false" outlineLevel="0" collapsed="false">
      <c r="A109" s="2" t="s">
        <v>118</v>
      </c>
      <c r="B109" s="3" t="n">
        <v>159115916.95</v>
      </c>
      <c r="C109" s="3" t="n">
        <v>102583005.6</v>
      </c>
      <c r="D109" s="3" t="n">
        <v>26985660.65</v>
      </c>
      <c r="E109" s="3" t="n">
        <v>70056996.24</v>
      </c>
      <c r="F109" s="3" t="n">
        <v>34819543.24</v>
      </c>
      <c r="G109" s="3" t="n">
        <v>36663579</v>
      </c>
      <c r="H109" s="3" t="n">
        <v>29318679.79</v>
      </c>
      <c r="I109" s="3" t="n">
        <v>15894380.03</v>
      </c>
      <c r="J109" s="3" t="n">
        <v>20211052.46</v>
      </c>
      <c r="K109" s="3" t="n">
        <v>1622236.94</v>
      </c>
      <c r="L109" s="3" t="n">
        <v>0</v>
      </c>
      <c r="M109" s="3" t="n">
        <v>8452436.25</v>
      </c>
      <c r="N109" s="3" t="n">
        <v>0</v>
      </c>
      <c r="O109" s="3" t="n">
        <v>4244339.78</v>
      </c>
      <c r="P109" s="3" t="n">
        <v>6022262.87</v>
      </c>
      <c r="Q109" s="3" t="n">
        <v>543277493.45</v>
      </c>
    </row>
    <row r="110" customFormat="false" ht="15" hidden="false" customHeight="false" outlineLevel="0" collapsed="false">
      <c r="A110" s="2" t="s">
        <v>119</v>
      </c>
      <c r="B110" s="3" t="n">
        <v>112787340.99</v>
      </c>
      <c r="C110" s="3" t="n">
        <v>49086870.83</v>
      </c>
      <c r="D110" s="3" t="n">
        <v>26530805.51</v>
      </c>
      <c r="E110" s="3" t="n">
        <v>39764427.41</v>
      </c>
      <c r="F110" s="3" t="n">
        <v>15806287.63</v>
      </c>
      <c r="G110" s="3" t="n">
        <v>33175783.86</v>
      </c>
      <c r="H110" s="3" t="n">
        <v>26208487.89</v>
      </c>
      <c r="I110" s="3" t="n">
        <v>9147496.42</v>
      </c>
      <c r="J110" s="3" t="n">
        <v>11134140.35</v>
      </c>
      <c r="K110" s="3" t="n">
        <v>1294628.51</v>
      </c>
      <c r="L110" s="3" t="n">
        <v>196.64</v>
      </c>
      <c r="M110" s="3" t="n">
        <v>9132830.31</v>
      </c>
      <c r="N110" s="3" t="n">
        <v>0</v>
      </c>
      <c r="O110" s="3" t="n">
        <v>888125.19</v>
      </c>
      <c r="P110" s="3" t="n">
        <v>11641693.73</v>
      </c>
      <c r="Q110" s="3" t="n">
        <v>369180775.58</v>
      </c>
    </row>
    <row r="111" customFormat="false" ht="15" hidden="false" customHeight="false" outlineLevel="0" collapsed="false">
      <c r="A111" s="2" t="s">
        <v>120</v>
      </c>
      <c r="B111" s="3" t="n">
        <v>100570858.24</v>
      </c>
      <c r="C111" s="3" t="n">
        <v>63699278.31</v>
      </c>
      <c r="D111" s="3" t="n">
        <v>29679855.77</v>
      </c>
      <c r="E111" s="3" t="n">
        <v>64693956.54</v>
      </c>
      <c r="F111" s="3" t="n">
        <v>79628811.55</v>
      </c>
      <c r="G111" s="3" t="n">
        <v>20176119.45</v>
      </c>
      <c r="H111" s="3" t="n">
        <v>37790889.05</v>
      </c>
      <c r="I111" s="3" t="n">
        <v>11468036.07</v>
      </c>
      <c r="J111" s="3" t="n">
        <v>11393601.21</v>
      </c>
      <c r="K111" s="3" t="n">
        <v>1205315.46</v>
      </c>
      <c r="L111" s="3" t="n">
        <v>0</v>
      </c>
      <c r="M111" s="3" t="n">
        <v>14055482.77</v>
      </c>
      <c r="N111" s="3" t="n">
        <v>0</v>
      </c>
      <c r="O111" s="3" t="n">
        <v>931640.28</v>
      </c>
      <c r="P111" s="3" t="n">
        <v>12353439.95</v>
      </c>
      <c r="Q111" s="3" t="n">
        <v>465362647.55</v>
      </c>
    </row>
    <row r="112" customFormat="false" ht="15" hidden="false" customHeight="false" outlineLevel="0" collapsed="false">
      <c r="A112" s="2" t="s">
        <v>121</v>
      </c>
      <c r="B112" s="3" t="n">
        <v>138113239.59</v>
      </c>
      <c r="C112" s="3" t="n">
        <v>91305166.95</v>
      </c>
      <c r="D112" s="3" t="n">
        <v>64263764.05</v>
      </c>
      <c r="E112" s="3" t="n">
        <v>66639237</v>
      </c>
      <c r="F112" s="3" t="n">
        <v>25013298.76</v>
      </c>
      <c r="G112" s="3" t="n">
        <v>39528240.93</v>
      </c>
      <c r="H112" s="3" t="n">
        <v>29080494.62</v>
      </c>
      <c r="I112" s="3" t="n">
        <v>15998528.68</v>
      </c>
      <c r="J112" s="3" t="n">
        <v>18468409.48</v>
      </c>
      <c r="K112" s="3" t="n">
        <v>2987325.34</v>
      </c>
      <c r="L112" s="3" t="n">
        <v>0</v>
      </c>
      <c r="M112" s="3" t="n">
        <v>11358278.68</v>
      </c>
      <c r="N112" s="3" t="n">
        <v>0</v>
      </c>
      <c r="O112" s="3" t="n">
        <v>1107784.92</v>
      </c>
      <c r="P112" s="3" t="n">
        <v>4809151.18</v>
      </c>
      <c r="Q112" s="3" t="n">
        <v>537155695.2</v>
      </c>
    </row>
    <row r="113" customFormat="false" ht="15" hidden="false" customHeight="false" outlineLevel="0" collapsed="false">
      <c r="A113" s="2" t="s">
        <v>122</v>
      </c>
      <c r="B113" s="3" t="n">
        <v>166215166.1</v>
      </c>
      <c r="C113" s="3" t="n">
        <v>149370640.6</v>
      </c>
      <c r="D113" s="3" t="n">
        <v>89715627.32</v>
      </c>
      <c r="E113" s="3" t="n">
        <v>60837650.79</v>
      </c>
      <c r="F113" s="3" t="n">
        <v>52373802.72</v>
      </c>
      <c r="G113" s="3" t="n">
        <v>41652194.89</v>
      </c>
      <c r="H113" s="3" t="n">
        <v>16069881</v>
      </c>
      <c r="I113" s="3" t="n">
        <v>26600965.66</v>
      </c>
      <c r="J113" s="3" t="n">
        <v>34021418.73</v>
      </c>
      <c r="K113" s="3" t="n">
        <v>44730612.43</v>
      </c>
      <c r="L113" s="3" t="n">
        <v>0</v>
      </c>
      <c r="M113" s="3" t="n">
        <v>14680357.44</v>
      </c>
      <c r="N113" s="3" t="n">
        <v>0</v>
      </c>
      <c r="O113" s="3" t="n">
        <v>789771.11</v>
      </c>
      <c r="P113" s="3" t="n">
        <v>1164849.68</v>
      </c>
      <c r="Q113" s="3" t="n">
        <v>800321871.01</v>
      </c>
    </row>
    <row r="114" customFormat="false" ht="15" hidden="false" customHeight="false" outlineLevel="0" collapsed="false">
      <c r="A114" s="2" t="s">
        <v>123</v>
      </c>
      <c r="B114" s="3" t="n">
        <v>200211026.48</v>
      </c>
      <c r="C114" s="3" t="n">
        <v>147930168.42</v>
      </c>
      <c r="D114" s="3" t="n">
        <v>103437264.35</v>
      </c>
      <c r="E114" s="3" t="n">
        <v>81763942.11</v>
      </c>
      <c r="F114" s="3" t="n">
        <v>39653941.2</v>
      </c>
      <c r="G114" s="3" t="n">
        <v>35098931.01</v>
      </c>
      <c r="H114" s="3" t="n">
        <v>40163812.97</v>
      </c>
      <c r="I114" s="3" t="n">
        <v>25374978.6</v>
      </c>
      <c r="J114" s="3" t="n">
        <v>24824834.38</v>
      </c>
      <c r="K114" s="3" t="n">
        <v>2128462.66</v>
      </c>
      <c r="L114" s="3" t="n">
        <v>0.09</v>
      </c>
      <c r="M114" s="3" t="n">
        <v>11142294.9</v>
      </c>
      <c r="N114" s="3" t="n">
        <v>0</v>
      </c>
      <c r="O114" s="3" t="n">
        <v>50825079.15</v>
      </c>
      <c r="P114" s="3" t="n">
        <v>1175981.26</v>
      </c>
      <c r="Q114" s="3" t="n">
        <v>816626151.57</v>
      </c>
    </row>
    <row r="115" customFormat="false" ht="15" hidden="false" customHeight="false" outlineLevel="0" collapsed="false">
      <c r="A115" s="2" t="s">
        <v>124</v>
      </c>
      <c r="B115" s="3" t="n">
        <v>204208642.43</v>
      </c>
      <c r="C115" s="3" t="n">
        <v>126942141.96</v>
      </c>
      <c r="D115" s="3" t="n">
        <v>79563664.49</v>
      </c>
      <c r="E115" s="3" t="n">
        <v>57732144.52</v>
      </c>
      <c r="F115" s="3" t="n">
        <v>40966270.09</v>
      </c>
      <c r="G115" s="3" t="n">
        <v>34006604.03</v>
      </c>
      <c r="H115" s="3" t="n">
        <v>7236728.05</v>
      </c>
      <c r="I115" s="3" t="n">
        <v>21425695.1</v>
      </c>
      <c r="J115" s="3" t="n">
        <v>37681107.16</v>
      </c>
      <c r="K115" s="3" t="n">
        <v>1156496.55</v>
      </c>
      <c r="L115" s="3" t="n">
        <v>0</v>
      </c>
      <c r="M115" s="3" t="n">
        <v>19758742.65</v>
      </c>
      <c r="N115" s="3" t="n">
        <v>0</v>
      </c>
      <c r="O115" s="3" t="n">
        <v>83131554.78</v>
      </c>
      <c r="P115" s="3" t="n">
        <v>6829915.09</v>
      </c>
      <c r="Q115" s="3" t="n">
        <v>766237108.89</v>
      </c>
    </row>
    <row r="116" customFormat="false" ht="15" hidden="false" customHeight="false" outlineLevel="0" collapsed="false">
      <c r="A116" s="2" t="s">
        <v>125</v>
      </c>
      <c r="B116" s="3" t="n">
        <v>166829808.18</v>
      </c>
      <c r="C116" s="3" t="n">
        <v>107351233.11</v>
      </c>
      <c r="D116" s="3" t="n">
        <v>76903454.37</v>
      </c>
      <c r="E116" s="3" t="n">
        <v>62163905.67</v>
      </c>
      <c r="F116" s="3" t="n">
        <v>25676703.04</v>
      </c>
      <c r="G116" s="3" t="n">
        <v>35652643.42</v>
      </c>
      <c r="H116" s="3" t="n">
        <v>8153112.6</v>
      </c>
      <c r="I116" s="3" t="n">
        <v>21210962.29</v>
      </c>
      <c r="J116" s="3" t="n">
        <v>34599432.24</v>
      </c>
      <c r="K116" s="3" t="n">
        <v>2530554.35</v>
      </c>
      <c r="L116" s="3" t="n">
        <v>0</v>
      </c>
      <c r="M116" s="3" t="n">
        <v>15736591.98</v>
      </c>
      <c r="N116" s="3" t="n">
        <v>0</v>
      </c>
      <c r="O116" s="3" t="n">
        <v>7858022.09</v>
      </c>
      <c r="P116" s="3" t="n">
        <v>7865960.94</v>
      </c>
      <c r="Q116" s="3" t="n">
        <v>619860270.34</v>
      </c>
    </row>
    <row r="117" customFormat="false" ht="15" hidden="false" customHeight="false" outlineLevel="0" collapsed="false">
      <c r="A117" s="2" t="s">
        <v>126</v>
      </c>
      <c r="B117" s="3" t="n">
        <v>83093110.97</v>
      </c>
      <c r="C117" s="3" t="n">
        <v>102308727.1</v>
      </c>
      <c r="D117" s="3" t="n">
        <v>60394168.24</v>
      </c>
      <c r="E117" s="3" t="n">
        <v>55692202.25</v>
      </c>
      <c r="F117" s="3" t="n">
        <v>69607083.13</v>
      </c>
      <c r="G117" s="3" t="n">
        <v>25224773.67</v>
      </c>
      <c r="H117" s="3" t="n">
        <v>35970284.72</v>
      </c>
      <c r="I117" s="3" t="n">
        <v>15771756.72</v>
      </c>
      <c r="J117" s="3" t="n">
        <v>15254562.36</v>
      </c>
      <c r="K117" s="3" t="n">
        <v>1275580.16</v>
      </c>
      <c r="L117" s="3" t="n">
        <v>276.74</v>
      </c>
      <c r="M117" s="3" t="n">
        <v>10099400.82</v>
      </c>
      <c r="N117" s="3" t="n">
        <v>0</v>
      </c>
      <c r="O117" s="3" t="n">
        <v>4964401.36</v>
      </c>
      <c r="P117" s="3" t="n">
        <v>2932333.16</v>
      </c>
      <c r="Q117" s="3" t="n">
        <v>510748320.32</v>
      </c>
    </row>
    <row r="118" customFormat="false" ht="15" hidden="false" customHeight="false" outlineLevel="0" collapsed="false">
      <c r="A118" s="2" t="s">
        <v>127</v>
      </c>
      <c r="B118" s="3" t="n">
        <v>112663352.35</v>
      </c>
      <c r="C118" s="3" t="n">
        <v>60636051.5</v>
      </c>
      <c r="D118" s="3" t="n">
        <v>31445476.47</v>
      </c>
      <c r="E118" s="3" t="n">
        <v>42259923.31</v>
      </c>
      <c r="F118" s="3" t="n">
        <v>15431046.04</v>
      </c>
      <c r="G118" s="3" t="n">
        <v>23224366.33</v>
      </c>
      <c r="H118" s="3" t="n">
        <v>26099179.79</v>
      </c>
      <c r="I118" s="3" t="n">
        <v>12525043.55</v>
      </c>
      <c r="J118" s="3" t="n">
        <v>15534341.62</v>
      </c>
      <c r="K118" s="3" t="n">
        <v>1098752.23</v>
      </c>
      <c r="L118" s="3" t="n">
        <v>83.83</v>
      </c>
      <c r="M118" s="3" t="n">
        <v>9679664.36</v>
      </c>
      <c r="N118" s="3" t="n">
        <v>0</v>
      </c>
      <c r="O118" s="3" t="n">
        <v>1423063.2</v>
      </c>
      <c r="P118" s="3" t="n">
        <v>6591893.64</v>
      </c>
      <c r="Q118" s="3" t="n">
        <v>383044189.46</v>
      </c>
    </row>
    <row r="119" customFormat="false" ht="15" hidden="false" customHeight="false" outlineLevel="0" collapsed="false">
      <c r="A119" s="2" t="s">
        <v>128</v>
      </c>
      <c r="B119" s="3" t="n">
        <v>156129468.59</v>
      </c>
      <c r="C119" s="3" t="n">
        <v>52902682.86</v>
      </c>
      <c r="D119" s="3" t="n">
        <v>47801726.89</v>
      </c>
      <c r="E119" s="3" t="n">
        <v>55773603.82</v>
      </c>
      <c r="F119" s="3" t="n">
        <v>17565761.28</v>
      </c>
      <c r="G119" s="3" t="n">
        <v>39653473.4</v>
      </c>
      <c r="H119" s="3" t="n">
        <v>31087633.96</v>
      </c>
      <c r="I119" s="3" t="n">
        <v>21391590.98</v>
      </c>
      <c r="J119" s="3" t="n">
        <v>21188443.06</v>
      </c>
      <c r="K119" s="3" t="n">
        <v>1157721.73</v>
      </c>
      <c r="L119" s="3" t="n">
        <v>0</v>
      </c>
      <c r="M119" s="3" t="n">
        <v>16077267.59</v>
      </c>
      <c r="N119" s="3" t="n">
        <v>0</v>
      </c>
      <c r="O119" s="3" t="n">
        <v>713602.49</v>
      </c>
      <c r="P119" s="3" t="n">
        <v>5260353.62</v>
      </c>
      <c r="Q119" s="3" t="n">
        <v>521314499.23</v>
      </c>
    </row>
    <row r="120" customFormat="false" ht="15" hidden="false" customHeight="false" outlineLevel="0" collapsed="false">
      <c r="A120" s="2" t="s">
        <v>129</v>
      </c>
      <c r="B120" s="3" t="n">
        <v>230191657.43</v>
      </c>
      <c r="C120" s="3" t="n">
        <v>123592673.07</v>
      </c>
      <c r="D120" s="3" t="n">
        <v>58216918.52</v>
      </c>
      <c r="E120" s="3" t="n">
        <v>90909927.47</v>
      </c>
      <c r="F120" s="3" t="n">
        <v>84141227.37</v>
      </c>
      <c r="G120" s="3" t="n">
        <v>38725358.55</v>
      </c>
      <c r="H120" s="3" t="n">
        <v>31735381.4</v>
      </c>
      <c r="I120" s="3" t="n">
        <v>18579320.07</v>
      </c>
      <c r="J120" s="3" t="n">
        <v>26497655.32</v>
      </c>
      <c r="K120" s="3" t="n">
        <v>2433802.4</v>
      </c>
      <c r="L120" s="3" t="n">
        <v>0</v>
      </c>
      <c r="M120" s="3" t="n">
        <v>16723846.09</v>
      </c>
      <c r="N120" s="3" t="n">
        <v>0</v>
      </c>
      <c r="O120" s="3" t="n">
        <v>6806417.06</v>
      </c>
      <c r="P120" s="3" t="n">
        <v>6909229.42</v>
      </c>
      <c r="Q120" s="3" t="n">
        <v>775264100.78</v>
      </c>
    </row>
    <row r="121" customFormat="false" ht="15" hidden="false" customHeight="false" outlineLevel="0" collapsed="false">
      <c r="A121" s="2" t="s">
        <v>130</v>
      </c>
      <c r="B121" s="3" t="n">
        <v>170131990.27</v>
      </c>
      <c r="C121" s="3" t="n">
        <v>92242972.39</v>
      </c>
      <c r="D121" s="3" t="n">
        <v>51307907.28</v>
      </c>
      <c r="E121" s="3" t="n">
        <v>48686103.24</v>
      </c>
      <c r="F121" s="3" t="n">
        <v>31202171.41</v>
      </c>
      <c r="G121" s="3" t="n">
        <v>30824446.87</v>
      </c>
      <c r="H121" s="3" t="n">
        <v>1009324.6</v>
      </c>
      <c r="I121" s="3" t="n">
        <v>11850591.42</v>
      </c>
      <c r="J121" s="3" t="n">
        <v>23747613.61</v>
      </c>
      <c r="K121" s="3" t="n">
        <v>8541097.57</v>
      </c>
      <c r="L121" s="3" t="n">
        <v>141.14</v>
      </c>
      <c r="M121" s="3" t="n">
        <v>27931701.39</v>
      </c>
      <c r="N121" s="3" t="n">
        <v>0</v>
      </c>
      <c r="O121" s="3" t="n">
        <v>25587655.57</v>
      </c>
      <c r="P121" s="3" t="n">
        <v>7663167.23</v>
      </c>
      <c r="Q121" s="3" t="n">
        <v>589213780.75</v>
      </c>
    </row>
    <row r="122" customFormat="false" ht="15" hidden="false" customHeight="false" outlineLevel="0" collapsed="false">
      <c r="A122" s="2" t="s">
        <v>131</v>
      </c>
      <c r="B122" s="3" t="n">
        <v>186497251.86</v>
      </c>
      <c r="C122" s="3" t="n">
        <v>142453902.31</v>
      </c>
      <c r="D122" s="3" t="n">
        <v>102867403.7</v>
      </c>
      <c r="E122" s="3" t="n">
        <v>44618130</v>
      </c>
      <c r="F122" s="3" t="n">
        <v>30323994.01</v>
      </c>
      <c r="G122" s="3" t="n">
        <v>37652537.36</v>
      </c>
      <c r="H122" s="3" t="n">
        <v>28844651.48</v>
      </c>
      <c r="I122" s="3" t="n">
        <v>22926267.54</v>
      </c>
      <c r="J122" s="3" t="n">
        <v>20091769.07</v>
      </c>
      <c r="K122" s="3" t="n">
        <v>4742974.53</v>
      </c>
      <c r="L122" s="3" t="n">
        <v>0</v>
      </c>
      <c r="M122" s="3" t="n">
        <v>17306289.31</v>
      </c>
      <c r="N122" s="3" t="n">
        <v>0</v>
      </c>
      <c r="O122" s="3" t="n">
        <v>38213890.96</v>
      </c>
      <c r="P122" s="3" t="n">
        <v>5919732.89</v>
      </c>
      <c r="Q122" s="3" t="n">
        <v>739349993.05</v>
      </c>
    </row>
    <row r="123" customFormat="false" ht="15" hidden="false" customHeight="false" outlineLevel="0" collapsed="false">
      <c r="A123" s="2" t="s">
        <v>132</v>
      </c>
      <c r="B123" s="3" t="n">
        <v>100043196.48</v>
      </c>
      <c r="C123" s="3" t="n">
        <v>78063240.53</v>
      </c>
      <c r="D123" s="3" t="n">
        <v>57419560.82</v>
      </c>
      <c r="E123" s="3" t="n">
        <v>36538747.55</v>
      </c>
      <c r="F123" s="3" t="n">
        <v>22092304.03</v>
      </c>
      <c r="G123" s="3" t="n">
        <v>31776946.74</v>
      </c>
      <c r="H123" s="3" t="n">
        <v>762309.49</v>
      </c>
      <c r="I123" s="3" t="n">
        <v>15971982.48</v>
      </c>
      <c r="J123" s="3" t="n">
        <v>21147449.06</v>
      </c>
      <c r="K123" s="3" t="n">
        <v>984435.47</v>
      </c>
      <c r="L123" s="3" t="n">
        <v>0</v>
      </c>
      <c r="M123" s="3" t="n">
        <v>9624536.84</v>
      </c>
      <c r="N123" s="3" t="n">
        <v>0</v>
      </c>
      <c r="O123" s="3" t="n">
        <v>3236695.42</v>
      </c>
      <c r="P123" s="3" t="n">
        <v>5275060.13</v>
      </c>
      <c r="Q123" s="3" t="n">
        <v>424711860.64</v>
      </c>
    </row>
    <row r="124" customFormat="false" ht="15" hidden="false" customHeight="false" outlineLevel="0" collapsed="false">
      <c r="A124" s="2" t="s">
        <v>133</v>
      </c>
      <c r="B124" s="3" t="n">
        <v>85839965.85</v>
      </c>
      <c r="C124" s="3" t="n">
        <v>58037965.29</v>
      </c>
      <c r="D124" s="3" t="n">
        <v>25903577.6</v>
      </c>
      <c r="E124" s="3" t="n">
        <v>32721230.28</v>
      </c>
      <c r="F124" s="3" t="n">
        <v>21993431.37</v>
      </c>
      <c r="G124" s="3" t="n">
        <v>19218837.12</v>
      </c>
      <c r="H124" s="3" t="n">
        <v>41530825.45</v>
      </c>
      <c r="I124" s="3" t="n">
        <v>27351273.39</v>
      </c>
      <c r="J124" s="3" t="n">
        <v>9382603.5</v>
      </c>
      <c r="K124" s="3" t="n">
        <v>2148969.79</v>
      </c>
      <c r="L124" s="3" t="n">
        <v>154.63</v>
      </c>
      <c r="M124" s="3" t="n">
        <v>7727233.26</v>
      </c>
      <c r="N124" s="3" t="n">
        <v>0</v>
      </c>
      <c r="O124" s="3" t="n">
        <v>416734.33</v>
      </c>
      <c r="P124" s="3" t="n">
        <v>7900591.09</v>
      </c>
      <c r="Q124" s="3" t="n">
        <v>368891856.41</v>
      </c>
    </row>
    <row r="125" customFormat="false" ht="15" hidden="false" customHeight="false" outlineLevel="0" collapsed="false">
      <c r="A125" s="2" t="s">
        <v>134</v>
      </c>
      <c r="B125" s="3" t="n">
        <v>144669633.72</v>
      </c>
      <c r="C125" s="3" t="n">
        <v>85803031.97</v>
      </c>
      <c r="D125" s="3" t="n">
        <v>45016447.25</v>
      </c>
      <c r="E125" s="3" t="n">
        <v>42391287.44</v>
      </c>
      <c r="F125" s="3" t="n">
        <v>13894849.2</v>
      </c>
      <c r="G125" s="3" t="n">
        <v>22547450.93</v>
      </c>
      <c r="H125" s="3" t="n">
        <v>41641093.2</v>
      </c>
      <c r="I125" s="3" t="n">
        <v>21986985.3</v>
      </c>
      <c r="J125" s="3" t="n">
        <v>19284108.46</v>
      </c>
      <c r="K125" s="3" t="n">
        <v>932234.71</v>
      </c>
      <c r="L125" s="3" t="n">
        <v>0</v>
      </c>
      <c r="M125" s="3" t="n">
        <v>10223399.38</v>
      </c>
      <c r="N125" s="3" t="n">
        <v>0</v>
      </c>
      <c r="O125" s="3" t="n">
        <v>465942.59</v>
      </c>
      <c r="P125" s="3" t="n">
        <v>7264798.56</v>
      </c>
      <c r="Q125" s="3" t="n">
        <v>487758876.07</v>
      </c>
    </row>
    <row r="126" customFormat="false" ht="15" hidden="false" customHeight="false" outlineLevel="0" collapsed="false">
      <c r="A126" s="2" t="s">
        <v>135</v>
      </c>
      <c r="B126" s="3" t="n">
        <v>156425773.06</v>
      </c>
      <c r="C126" s="3" t="n">
        <v>111848160.07</v>
      </c>
      <c r="D126" s="3" t="n">
        <v>48803002.8</v>
      </c>
      <c r="E126" s="3" t="n">
        <v>38545887.03</v>
      </c>
      <c r="F126" s="3" t="n">
        <v>20085490.2</v>
      </c>
      <c r="G126" s="3" t="n">
        <v>38369258.67</v>
      </c>
      <c r="H126" s="3" t="n">
        <v>42212192.17</v>
      </c>
      <c r="I126" s="3" t="n">
        <v>14453483.37</v>
      </c>
      <c r="J126" s="3" t="n">
        <v>40379727.78</v>
      </c>
      <c r="K126" s="3" t="n">
        <v>3517412.37</v>
      </c>
      <c r="L126" s="3" t="n">
        <v>13.64</v>
      </c>
      <c r="M126" s="3" t="n">
        <v>20668037.17</v>
      </c>
      <c r="N126" s="3" t="n">
        <v>0</v>
      </c>
      <c r="O126" s="3" t="n">
        <v>28008361.74</v>
      </c>
      <c r="P126" s="3" t="n">
        <v>6240810.02</v>
      </c>
      <c r="Q126" s="3" t="n">
        <v>627757058.35</v>
      </c>
    </row>
    <row r="127" customFormat="false" ht="15" hidden="false" customHeight="false" outlineLevel="0" collapsed="false">
      <c r="A127" s="2" t="s">
        <v>136</v>
      </c>
      <c r="B127" s="3" t="n">
        <v>461250265.44</v>
      </c>
      <c r="C127" s="3" t="n">
        <v>126132094.78</v>
      </c>
      <c r="D127" s="3" t="n">
        <v>60366587.89</v>
      </c>
      <c r="E127" s="3" t="n">
        <v>174090238.4</v>
      </c>
      <c r="F127" s="3" t="n">
        <v>27083493.49</v>
      </c>
      <c r="G127" s="3" t="n">
        <v>41912797.02</v>
      </c>
      <c r="H127" s="3" t="n">
        <v>21483079.49</v>
      </c>
      <c r="I127" s="3" t="n">
        <v>17337530.49</v>
      </c>
      <c r="J127" s="3" t="n">
        <v>40494305.66</v>
      </c>
      <c r="K127" s="3" t="n">
        <v>1877552.88</v>
      </c>
      <c r="L127" s="3" t="n">
        <v>0</v>
      </c>
      <c r="M127" s="3" t="n">
        <v>9828958.6</v>
      </c>
      <c r="N127" s="3" t="n">
        <v>0</v>
      </c>
      <c r="O127" s="3" t="n">
        <v>22653030.96</v>
      </c>
      <c r="P127" s="3" t="n">
        <v>7224675.13</v>
      </c>
      <c r="Q127" s="3" t="n">
        <v>1051733040.9</v>
      </c>
    </row>
    <row r="128" customFormat="false" ht="15" hidden="false" customHeight="false" outlineLevel="0" collapsed="false">
      <c r="A128" s="2" t="s">
        <v>137</v>
      </c>
      <c r="B128" s="3" t="n">
        <v>296518204.11</v>
      </c>
      <c r="C128" s="3" t="n">
        <v>86690210.8</v>
      </c>
      <c r="D128" s="3" t="n">
        <v>67835781.02</v>
      </c>
      <c r="E128" s="3" t="n">
        <v>140038116.07</v>
      </c>
      <c r="F128" s="3" t="n">
        <v>66898248.78</v>
      </c>
      <c r="G128" s="3" t="n">
        <v>51227259.69</v>
      </c>
      <c r="H128" s="3" t="n">
        <v>38679056.99</v>
      </c>
      <c r="I128" s="3" t="n">
        <v>15137954.5</v>
      </c>
      <c r="J128" s="3" t="n">
        <v>14537762.06</v>
      </c>
      <c r="K128" s="3" t="n">
        <v>2179640.87</v>
      </c>
      <c r="L128" s="3" t="n">
        <v>0</v>
      </c>
      <c r="M128" s="3" t="n">
        <v>13579254.84</v>
      </c>
      <c r="N128" s="3" t="n">
        <v>0</v>
      </c>
      <c r="O128" s="3" t="n">
        <v>3455320.08</v>
      </c>
      <c r="P128" s="3" t="n">
        <v>8341194.99</v>
      </c>
      <c r="Q128" s="3" t="n">
        <v>848306961.62</v>
      </c>
    </row>
    <row r="129" customFormat="false" ht="15" hidden="false" customHeight="false" outlineLevel="0" collapsed="false">
      <c r="A129" s="2" t="s">
        <v>138</v>
      </c>
      <c r="B129" s="3" t="n">
        <v>323471271.94</v>
      </c>
      <c r="C129" s="3" t="n">
        <v>196998237.97</v>
      </c>
      <c r="D129" s="3" t="n">
        <v>196831672.4</v>
      </c>
      <c r="E129" s="3" t="n">
        <v>100032968</v>
      </c>
      <c r="F129" s="3" t="n">
        <v>76504273.13</v>
      </c>
      <c r="G129" s="3" t="n">
        <v>59877429.23</v>
      </c>
      <c r="H129" s="3" t="n">
        <v>1615457.99</v>
      </c>
      <c r="I129" s="3" t="n">
        <v>29472449.1</v>
      </c>
      <c r="J129" s="3" t="n">
        <v>73979584.8</v>
      </c>
      <c r="K129" s="3" t="n">
        <v>12326796.44</v>
      </c>
      <c r="L129" s="3" t="n">
        <v>0</v>
      </c>
      <c r="M129" s="3" t="n">
        <v>18734202.65</v>
      </c>
      <c r="N129" s="3" t="n">
        <v>0</v>
      </c>
      <c r="O129" s="3" t="n">
        <v>3032169.97</v>
      </c>
      <c r="P129" s="3" t="n">
        <v>7153067.17</v>
      </c>
      <c r="Q129" s="3" t="n">
        <v>1167647833.44</v>
      </c>
    </row>
    <row r="130" customFormat="false" ht="15" hidden="false" customHeight="false" outlineLevel="0" collapsed="false">
      <c r="A130" s="2" t="s">
        <v>139</v>
      </c>
      <c r="B130" s="3" t="n">
        <v>708147894.3</v>
      </c>
      <c r="C130" s="3" t="n">
        <v>172273335.33</v>
      </c>
      <c r="D130" s="3" t="n">
        <v>278342387.18</v>
      </c>
      <c r="E130" s="3" t="n">
        <v>237836633.36</v>
      </c>
      <c r="F130" s="3" t="n">
        <v>63427598.27</v>
      </c>
      <c r="G130" s="3" t="n">
        <v>55761044.63</v>
      </c>
      <c r="H130" s="3" t="n">
        <v>1680866.12</v>
      </c>
      <c r="I130" s="3" t="n">
        <v>33698677.6</v>
      </c>
      <c r="J130" s="3" t="n">
        <v>65052137.74</v>
      </c>
      <c r="K130" s="3" t="n">
        <v>6396075.44</v>
      </c>
      <c r="L130" s="3" t="n">
        <v>0</v>
      </c>
      <c r="M130" s="3" t="n">
        <v>12593702.34</v>
      </c>
      <c r="N130" s="3" t="n">
        <v>0</v>
      </c>
      <c r="O130" s="3" t="n">
        <v>2959943.02</v>
      </c>
      <c r="P130" s="3" t="n">
        <v>7873947.17</v>
      </c>
      <c r="Q130" s="3" t="n">
        <v>1758636046.14</v>
      </c>
    </row>
    <row r="131" customFormat="false" ht="15" hidden="false" customHeight="false" outlineLevel="0" collapsed="false">
      <c r="A131" s="2" t="s">
        <v>140</v>
      </c>
      <c r="B131" s="3" t="n">
        <v>401128577.55</v>
      </c>
      <c r="C131" s="3" t="n">
        <v>93489444.42</v>
      </c>
      <c r="D131" s="3" t="n">
        <v>160383860.22</v>
      </c>
      <c r="E131" s="3" t="n">
        <v>73911076.9</v>
      </c>
      <c r="F131" s="3" t="n">
        <v>32869758.4</v>
      </c>
      <c r="G131" s="3" t="n">
        <v>37089708.61</v>
      </c>
      <c r="H131" s="3" t="n">
        <v>29768414.24</v>
      </c>
      <c r="I131" s="3" t="n">
        <v>24896240.08</v>
      </c>
      <c r="J131" s="3" t="n">
        <v>43834361.08</v>
      </c>
      <c r="K131" s="3" t="n">
        <v>2771855.76</v>
      </c>
      <c r="L131" s="3" t="n">
        <v>0</v>
      </c>
      <c r="M131" s="3" t="n">
        <v>9909615.2</v>
      </c>
      <c r="N131" s="3" t="n">
        <v>0</v>
      </c>
      <c r="O131" s="3" t="n">
        <v>3097609.07</v>
      </c>
      <c r="P131" s="3" t="n">
        <v>3362770.18</v>
      </c>
      <c r="Q131" s="3" t="n">
        <v>967130280.48</v>
      </c>
    </row>
    <row r="132" customFormat="false" ht="15" hidden="false" customHeight="false" outlineLevel="0" collapsed="false">
      <c r="A132" s="2" t="s">
        <v>141</v>
      </c>
      <c r="B132" s="3" t="n">
        <v>199749316.41</v>
      </c>
      <c r="C132" s="3" t="n">
        <v>73898169.63</v>
      </c>
      <c r="D132" s="3" t="n">
        <v>119354838.83</v>
      </c>
      <c r="E132" s="3" t="n">
        <v>38048079.78</v>
      </c>
      <c r="F132" s="3" t="n">
        <v>25818551.66</v>
      </c>
      <c r="G132" s="3" t="n">
        <v>27304022.42</v>
      </c>
      <c r="H132" s="3" t="n">
        <v>35837250.65</v>
      </c>
      <c r="I132" s="3" t="n">
        <v>17375088.16</v>
      </c>
      <c r="J132" s="3" t="n">
        <v>24529678.13</v>
      </c>
      <c r="K132" s="3" t="n">
        <v>5947372.64</v>
      </c>
      <c r="L132" s="3" t="n">
        <v>0</v>
      </c>
      <c r="M132" s="3" t="n">
        <v>8157035.82</v>
      </c>
      <c r="N132" s="3" t="n">
        <v>0</v>
      </c>
      <c r="O132" s="3" t="n">
        <v>3126012.07</v>
      </c>
      <c r="P132" s="3" t="n">
        <v>2991511.35</v>
      </c>
      <c r="Q132" s="3" t="n">
        <v>636581605.69</v>
      </c>
    </row>
    <row r="133" customFormat="false" ht="15" hidden="false" customHeight="false" outlineLevel="0" collapsed="false">
      <c r="A133" s="2" t="s">
        <v>142</v>
      </c>
      <c r="B133" s="3" t="n">
        <v>591006211.3</v>
      </c>
      <c r="C133" s="3" t="n">
        <v>128626224.58</v>
      </c>
      <c r="D133" s="3" t="n">
        <v>210048376.65</v>
      </c>
      <c r="E133" s="3" t="n">
        <v>302696144.41</v>
      </c>
      <c r="F133" s="3" t="n">
        <v>36918784.54</v>
      </c>
      <c r="G133" s="3" t="n">
        <v>49103136.83</v>
      </c>
      <c r="H133" s="3" t="n">
        <v>28644616.33</v>
      </c>
      <c r="I133" s="3" t="n">
        <v>33782928.79</v>
      </c>
      <c r="J133" s="3" t="n">
        <v>42576822.04</v>
      </c>
      <c r="K133" s="3" t="n">
        <v>1708741.74</v>
      </c>
      <c r="L133" s="3" t="n">
        <v>119.49</v>
      </c>
      <c r="M133" s="3" t="n">
        <v>4352224.37</v>
      </c>
      <c r="N133" s="3" t="n">
        <v>0</v>
      </c>
      <c r="O133" s="3" t="n">
        <v>782821.95</v>
      </c>
      <c r="P133" s="3" t="n">
        <v>10355672.57</v>
      </c>
      <c r="Q133" s="3" t="n">
        <v>1503363932.29</v>
      </c>
    </row>
    <row r="134" customFormat="false" ht="15" hidden="false" customHeight="false" outlineLevel="0" collapsed="false">
      <c r="A134" s="2" t="s">
        <v>143</v>
      </c>
      <c r="B134" s="3" t="n">
        <v>450944377.27</v>
      </c>
      <c r="C134" s="3" t="n">
        <v>109538027.34</v>
      </c>
      <c r="D134" s="3" t="n">
        <v>145995887.45</v>
      </c>
      <c r="E134" s="3" t="n">
        <v>153646730.32</v>
      </c>
      <c r="F134" s="3" t="n">
        <v>39297983.98</v>
      </c>
      <c r="G134" s="3" t="n">
        <v>50974978.97</v>
      </c>
      <c r="H134" s="3" t="n">
        <v>38101877.23</v>
      </c>
      <c r="I134" s="3" t="n">
        <v>35294737.08</v>
      </c>
      <c r="J134" s="3" t="n">
        <v>37048029.34</v>
      </c>
      <c r="K134" s="3" t="n">
        <v>5398345.2</v>
      </c>
      <c r="L134" s="3" t="n">
        <v>0</v>
      </c>
      <c r="M134" s="3" t="n">
        <v>15573137.88</v>
      </c>
      <c r="N134" s="3" t="n">
        <v>0</v>
      </c>
      <c r="O134" s="3" t="n">
        <v>30601742.59</v>
      </c>
      <c r="P134" s="3" t="n">
        <v>11288751.31</v>
      </c>
      <c r="Q134" s="3" t="n">
        <v>1199742404.61</v>
      </c>
    </row>
    <row r="135" customFormat="false" ht="15" hidden="false" customHeight="false" outlineLevel="0" collapsed="false">
      <c r="A135" s="2" t="s">
        <v>144</v>
      </c>
      <c r="B135" s="3" t="n">
        <v>336922237.23</v>
      </c>
      <c r="C135" s="3" t="n">
        <v>105181294.63</v>
      </c>
      <c r="D135" s="3" t="n">
        <v>94928311.08</v>
      </c>
      <c r="E135" s="3" t="n">
        <v>96199419.63</v>
      </c>
      <c r="F135" s="3" t="n">
        <v>38484518.75</v>
      </c>
      <c r="G135" s="3" t="n">
        <v>46412608.97</v>
      </c>
      <c r="H135" s="3" t="n">
        <v>48399961.49</v>
      </c>
      <c r="I135" s="3" t="n">
        <v>28070951.1</v>
      </c>
      <c r="J135" s="3" t="n">
        <v>41087920.33</v>
      </c>
      <c r="K135" s="3" t="n">
        <v>2373829.16</v>
      </c>
      <c r="L135" s="3" t="n">
        <v>0</v>
      </c>
      <c r="M135" s="3" t="n">
        <v>7221465.28</v>
      </c>
      <c r="N135" s="3" t="n">
        <v>0</v>
      </c>
      <c r="O135" s="3" t="n">
        <v>2661864.49</v>
      </c>
      <c r="P135" s="3" t="n">
        <v>8049082.93</v>
      </c>
      <c r="Q135" s="3" t="n">
        <v>942343800.05</v>
      </c>
    </row>
    <row r="136" customFormat="false" ht="15" hidden="false" customHeight="false" outlineLevel="0" collapsed="false">
      <c r="A136" s="2" t="s">
        <v>145</v>
      </c>
      <c r="B136" s="3" t="n">
        <v>180029993.88</v>
      </c>
      <c r="C136" s="3" t="n">
        <v>109117126.63</v>
      </c>
      <c r="D136" s="3" t="n">
        <v>99762786.95</v>
      </c>
      <c r="E136" s="3" t="n">
        <v>36475551.82</v>
      </c>
      <c r="F136" s="3" t="n">
        <v>27388173.75</v>
      </c>
      <c r="G136" s="3" t="n">
        <v>51418401.2</v>
      </c>
      <c r="H136" s="3" t="n">
        <v>39061424.34</v>
      </c>
      <c r="I136" s="3" t="n">
        <v>34726800.46</v>
      </c>
      <c r="J136" s="3" t="n">
        <v>43967272.94</v>
      </c>
      <c r="K136" s="3" t="n">
        <v>2371366.79</v>
      </c>
      <c r="L136" s="3" t="n">
        <v>0</v>
      </c>
      <c r="M136" s="3" t="n">
        <v>20576322.41</v>
      </c>
      <c r="N136" s="3" t="n">
        <v>0</v>
      </c>
      <c r="O136" s="3" t="n">
        <v>8811001.11</v>
      </c>
      <c r="P136" s="3" t="n">
        <v>4994376.32</v>
      </c>
      <c r="Q136" s="3" t="n">
        <v>746367633.93</v>
      </c>
    </row>
    <row r="137" customFormat="false" ht="15" hidden="false" customHeight="false" outlineLevel="0" collapsed="false">
      <c r="A137" s="2" t="s">
        <v>146</v>
      </c>
      <c r="B137" s="3" t="n">
        <v>185692943.63</v>
      </c>
      <c r="C137" s="3" t="n">
        <v>79406136.18</v>
      </c>
      <c r="D137" s="3" t="n">
        <v>70983302.59</v>
      </c>
      <c r="E137" s="3" t="n">
        <v>38195031.05</v>
      </c>
      <c r="F137" s="3" t="n">
        <v>32663260.98</v>
      </c>
      <c r="G137" s="3" t="n">
        <v>36698021.99</v>
      </c>
      <c r="H137" s="3" t="n">
        <v>13403565.33</v>
      </c>
      <c r="I137" s="3" t="n">
        <v>25393018.51</v>
      </c>
      <c r="J137" s="3" t="n">
        <v>32495151.84</v>
      </c>
      <c r="K137" s="3" t="n">
        <v>2029195.69</v>
      </c>
      <c r="L137" s="3" t="n">
        <v>0</v>
      </c>
      <c r="M137" s="3" t="n">
        <v>23683494.15</v>
      </c>
      <c r="N137" s="3" t="n">
        <v>0</v>
      </c>
      <c r="O137" s="3" t="n">
        <v>7039874.66</v>
      </c>
      <c r="P137" s="3" t="n">
        <v>4381985.36</v>
      </c>
      <c r="Q137" s="3" t="n">
        <v>634758752.68</v>
      </c>
    </row>
    <row r="138" customFormat="false" ht="15" hidden="false" customHeight="false" outlineLevel="0" collapsed="false">
      <c r="A138" s="2" t="s">
        <v>147</v>
      </c>
      <c r="B138" s="3" t="n">
        <v>107329543.12</v>
      </c>
      <c r="C138" s="3" t="n">
        <v>63864502.41</v>
      </c>
      <c r="D138" s="3" t="n">
        <v>66801298.05</v>
      </c>
      <c r="E138" s="3" t="n">
        <v>23218752.79</v>
      </c>
      <c r="F138" s="3" t="n">
        <v>35127395.51</v>
      </c>
      <c r="G138" s="3" t="n">
        <v>37403155.34</v>
      </c>
      <c r="H138" s="3" t="n">
        <v>1102284.91</v>
      </c>
      <c r="I138" s="3" t="n">
        <v>13832960.21</v>
      </c>
      <c r="J138" s="3" t="n">
        <v>18971037.47</v>
      </c>
      <c r="K138" s="3" t="n">
        <v>1196982.34</v>
      </c>
      <c r="L138" s="3" t="n">
        <v>0</v>
      </c>
      <c r="M138" s="3" t="n">
        <v>11991404.59</v>
      </c>
      <c r="N138" s="3" t="n">
        <v>0</v>
      </c>
      <c r="O138" s="3" t="n">
        <v>876775.88</v>
      </c>
      <c r="P138" s="3" t="n">
        <v>4170199.01</v>
      </c>
      <c r="Q138" s="3" t="n">
        <v>438999923.2</v>
      </c>
    </row>
    <row r="139" customFormat="false" ht="15" hidden="false" customHeight="false" outlineLevel="0" collapsed="false">
      <c r="A139" s="2" t="s">
        <v>148</v>
      </c>
      <c r="B139" s="3" t="n">
        <v>117323884.48</v>
      </c>
      <c r="C139" s="3" t="n">
        <v>70400565.95</v>
      </c>
      <c r="D139" s="3" t="n">
        <v>77315591.33</v>
      </c>
      <c r="E139" s="3" t="n">
        <v>33775815.93</v>
      </c>
      <c r="F139" s="3" t="n">
        <v>22507171.14</v>
      </c>
      <c r="G139" s="3" t="n">
        <v>36469783.6</v>
      </c>
      <c r="H139" s="3" t="n">
        <v>32532383.81</v>
      </c>
      <c r="I139" s="3" t="n">
        <v>15454769.59</v>
      </c>
      <c r="J139" s="3" t="n">
        <v>21794164.41</v>
      </c>
      <c r="K139" s="3" t="n">
        <v>1274506.03</v>
      </c>
      <c r="L139" s="3" t="n">
        <v>0</v>
      </c>
      <c r="M139" s="3" t="n">
        <v>8013620.76</v>
      </c>
      <c r="N139" s="3" t="n">
        <v>0</v>
      </c>
      <c r="O139" s="3" t="n">
        <v>557456.73</v>
      </c>
      <c r="P139" s="3" t="n">
        <v>5862906.9</v>
      </c>
      <c r="Q139" s="3" t="n">
        <v>498541729.11</v>
      </c>
    </row>
    <row r="140" customFormat="false" ht="15" hidden="false" customHeight="false" outlineLevel="0" collapsed="false">
      <c r="A140" s="2" t="s">
        <v>149</v>
      </c>
      <c r="B140" s="3" t="n">
        <v>9199362.03</v>
      </c>
      <c r="C140" s="3" t="n">
        <v>115126535.79</v>
      </c>
      <c r="D140" s="3" t="n">
        <v>121436482.73</v>
      </c>
      <c r="E140" s="3" t="n">
        <v>85994291.8</v>
      </c>
      <c r="F140" s="3" t="n">
        <v>34013238.32</v>
      </c>
      <c r="G140" s="3" t="n">
        <v>41172335.53</v>
      </c>
      <c r="H140" s="3" t="n">
        <v>43345998.32</v>
      </c>
      <c r="I140" s="3" t="n">
        <v>20129023.89</v>
      </c>
      <c r="J140" s="3" t="n">
        <v>31524216.59</v>
      </c>
      <c r="K140" s="3" t="n">
        <v>1973145.23</v>
      </c>
      <c r="L140" s="3" t="n">
        <v>1.26</v>
      </c>
      <c r="M140" s="3" t="n">
        <v>17770129.57</v>
      </c>
      <c r="N140" s="3" t="n">
        <v>0</v>
      </c>
      <c r="O140" s="3" t="n">
        <v>5004379.23</v>
      </c>
      <c r="P140" s="3" t="n">
        <v>5854787.34</v>
      </c>
      <c r="Q140" s="3" t="n">
        <v>597301632.87</v>
      </c>
    </row>
    <row r="141" customFormat="false" ht="15" hidden="false" customHeight="false" outlineLevel="0" collapsed="false">
      <c r="A141" s="2" t="s">
        <v>150</v>
      </c>
      <c r="B141" s="3" t="n">
        <v>265172873.34</v>
      </c>
      <c r="C141" s="3" t="n">
        <v>104074578.06</v>
      </c>
      <c r="D141" s="3" t="n">
        <v>125446613.4</v>
      </c>
      <c r="E141" s="3" t="n">
        <v>54389340.18</v>
      </c>
      <c r="F141" s="3" t="n">
        <v>33831907.44</v>
      </c>
      <c r="G141" s="3" t="n">
        <v>40244034.33</v>
      </c>
      <c r="H141" s="3" t="n">
        <v>63375983.97</v>
      </c>
      <c r="I141" s="3" t="n">
        <v>29998584.31</v>
      </c>
      <c r="J141" s="3" t="n">
        <v>20341885</v>
      </c>
      <c r="K141" s="3" t="n">
        <v>1011254.24</v>
      </c>
      <c r="L141" s="3" t="n">
        <v>0</v>
      </c>
      <c r="M141" s="3" t="n">
        <v>72839449.26</v>
      </c>
      <c r="N141" s="3" t="n">
        <v>0</v>
      </c>
      <c r="O141" s="3" t="n">
        <v>10283205.19</v>
      </c>
      <c r="P141" s="3" t="n">
        <v>9281350.21</v>
      </c>
      <c r="Q141" s="3" t="n">
        <v>902865265.21</v>
      </c>
    </row>
    <row r="142" customFormat="false" ht="15" hidden="false" customHeight="false" outlineLevel="0" collapsed="false">
      <c r="A142" s="2" t="s">
        <v>151</v>
      </c>
      <c r="B142" s="3" t="n">
        <v>143095044.46</v>
      </c>
      <c r="C142" s="3" t="n">
        <v>124376013</v>
      </c>
      <c r="D142" s="3" t="n">
        <v>198818086.52</v>
      </c>
      <c r="E142" s="3" t="n">
        <v>65669407.32</v>
      </c>
      <c r="F142" s="3" t="n">
        <v>44988977.16</v>
      </c>
      <c r="G142" s="3" t="n">
        <v>56946353.03</v>
      </c>
      <c r="H142" s="3" t="n">
        <v>63049305.98</v>
      </c>
      <c r="I142" s="3" t="n">
        <v>44789391.58</v>
      </c>
      <c r="J142" s="3" t="n">
        <v>32724690.02</v>
      </c>
      <c r="K142" s="3" t="n">
        <v>2055662.61</v>
      </c>
      <c r="L142" s="3" t="n">
        <v>0</v>
      </c>
      <c r="M142" s="3" t="n">
        <v>42311991.12</v>
      </c>
      <c r="N142" s="3" t="n">
        <v>0</v>
      </c>
      <c r="O142" s="3" t="n">
        <v>6379572.66</v>
      </c>
      <c r="P142" s="3" t="n">
        <v>6554416.96</v>
      </c>
      <c r="Q142" s="3" t="n">
        <v>908142237.77</v>
      </c>
    </row>
    <row r="143" customFormat="false" ht="15" hidden="false" customHeight="false" outlineLevel="0" collapsed="false">
      <c r="A143" s="2" t="s">
        <v>152</v>
      </c>
      <c r="B143" s="3" t="n">
        <v>220617663.72</v>
      </c>
      <c r="C143" s="3" t="n">
        <v>271890151.07</v>
      </c>
      <c r="D143" s="3" t="n">
        <v>221183309.27</v>
      </c>
      <c r="E143" s="3" t="n">
        <v>51308512.22</v>
      </c>
      <c r="F143" s="3" t="n">
        <v>79363316.65</v>
      </c>
      <c r="G143" s="3" t="n">
        <v>58276472.67</v>
      </c>
      <c r="H143" s="3" t="n">
        <v>38410530.85</v>
      </c>
      <c r="I143" s="3" t="n">
        <v>52670055.33</v>
      </c>
      <c r="J143" s="3" t="n">
        <v>59754250.42</v>
      </c>
      <c r="K143" s="3" t="n">
        <v>9902820.44</v>
      </c>
      <c r="L143" s="3" t="n">
        <v>0</v>
      </c>
      <c r="M143" s="3" t="n">
        <v>20397038.04</v>
      </c>
      <c r="N143" s="3" t="n">
        <v>0</v>
      </c>
      <c r="O143" s="3" t="n">
        <v>5049646.25</v>
      </c>
      <c r="P143" s="3" t="n">
        <v>6317348.37</v>
      </c>
      <c r="Q143" s="3" t="n">
        <v>1173597389.24</v>
      </c>
    </row>
    <row r="144" customFormat="false" ht="15" hidden="false" customHeight="false" outlineLevel="0" collapsed="false">
      <c r="A144" s="2" t="s">
        <v>153</v>
      </c>
      <c r="B144" s="3" t="n">
        <v>283322410.3</v>
      </c>
      <c r="C144" s="3" t="n">
        <v>255963072.97</v>
      </c>
      <c r="D144" s="3" t="n">
        <v>258915254.27</v>
      </c>
      <c r="E144" s="3" t="n">
        <v>67753664.1</v>
      </c>
      <c r="F144" s="3" t="n">
        <v>53704426.86</v>
      </c>
      <c r="G144" s="3" t="n">
        <v>61497743.74</v>
      </c>
      <c r="H144" s="3" t="n">
        <v>46706547.16</v>
      </c>
      <c r="I144" s="3" t="n">
        <v>52760041.27</v>
      </c>
      <c r="J144" s="3" t="n">
        <v>50758941.87</v>
      </c>
      <c r="K144" s="3" t="n">
        <v>4206722.5</v>
      </c>
      <c r="L144" s="3" t="n">
        <v>0</v>
      </c>
      <c r="M144" s="3" t="n">
        <v>41239567.02</v>
      </c>
      <c r="N144" s="3" t="n">
        <v>0</v>
      </c>
      <c r="O144" s="3" t="n">
        <v>2728249.41</v>
      </c>
      <c r="P144" s="3" t="n">
        <v>8796418.87</v>
      </c>
      <c r="Q144" s="3" t="n">
        <v>1254099430.78</v>
      </c>
    </row>
    <row r="145" customFormat="false" ht="15" hidden="false" customHeight="false" outlineLevel="0" collapsed="false">
      <c r="A145" s="2" t="s">
        <v>154</v>
      </c>
      <c r="B145" s="3" t="n">
        <v>112031821.65</v>
      </c>
      <c r="C145" s="3" t="n">
        <v>76408366.93</v>
      </c>
      <c r="D145" s="3" t="n">
        <v>81930297.71</v>
      </c>
      <c r="E145" s="3" t="n">
        <v>24366223.18</v>
      </c>
      <c r="F145" s="3" t="n">
        <v>16090147.96</v>
      </c>
      <c r="G145" s="3" t="n">
        <v>28328910.6</v>
      </c>
      <c r="H145" s="3" t="n">
        <v>24751134.46</v>
      </c>
      <c r="I145" s="3" t="n">
        <v>15768251.22</v>
      </c>
      <c r="J145" s="3" t="n">
        <v>15330779.07</v>
      </c>
      <c r="K145" s="3" t="n">
        <v>78400136.16</v>
      </c>
      <c r="L145" s="3" t="n">
        <v>384.7</v>
      </c>
      <c r="M145" s="3" t="n">
        <v>22141112.65</v>
      </c>
      <c r="N145" s="3" t="n">
        <v>0</v>
      </c>
      <c r="O145" s="3" t="n">
        <v>1325292.07</v>
      </c>
      <c r="P145" s="3" t="n">
        <v>3658715.37</v>
      </c>
      <c r="Q145" s="3" t="n">
        <v>535743767.1</v>
      </c>
    </row>
    <row r="146" customFormat="false" ht="15" hidden="false" customHeight="false" outlineLevel="0" collapsed="false">
      <c r="A146" s="2" t="s">
        <v>155</v>
      </c>
      <c r="B146" s="3" t="n">
        <v>77248204.55</v>
      </c>
      <c r="C146" s="3" t="n">
        <v>72163270.92</v>
      </c>
      <c r="D146" s="3" t="n">
        <v>142448783.56</v>
      </c>
      <c r="E146" s="3" t="n">
        <v>36238563.23</v>
      </c>
      <c r="F146" s="3" t="n">
        <v>11008245.73</v>
      </c>
      <c r="G146" s="3" t="n">
        <v>24702196.77</v>
      </c>
      <c r="H146" s="3" t="n">
        <v>46084673.56</v>
      </c>
      <c r="I146" s="3" t="n">
        <v>18872837.15</v>
      </c>
      <c r="J146" s="3" t="n">
        <v>14045547.87</v>
      </c>
      <c r="K146" s="3" t="n">
        <v>1543643.88</v>
      </c>
      <c r="L146" s="3" t="n">
        <v>0</v>
      </c>
      <c r="M146" s="3" t="n">
        <v>6508661.24</v>
      </c>
      <c r="N146" s="3" t="n">
        <v>0</v>
      </c>
      <c r="O146" s="3" t="n">
        <v>1163865.71</v>
      </c>
      <c r="P146" s="3" t="n">
        <v>8485715.22</v>
      </c>
      <c r="Q146" s="3" t="n">
        <v>496609128.52</v>
      </c>
    </row>
    <row r="147" customFormat="false" ht="15" hidden="false" customHeight="false" outlineLevel="0" collapsed="false">
      <c r="A147" s="2" t="s">
        <v>156</v>
      </c>
      <c r="B147" s="3" t="n">
        <v>117623898.71</v>
      </c>
      <c r="C147" s="3" t="n">
        <v>74995087.28</v>
      </c>
      <c r="D147" s="3" t="n">
        <v>160933028.77</v>
      </c>
      <c r="E147" s="3" t="n">
        <v>36574566.2</v>
      </c>
      <c r="F147" s="3" t="n">
        <v>32570782.26</v>
      </c>
      <c r="G147" s="3" t="n">
        <v>32103429.52</v>
      </c>
      <c r="H147" s="3" t="n">
        <v>22502001.25</v>
      </c>
      <c r="I147" s="3" t="n">
        <v>19305150.27</v>
      </c>
      <c r="J147" s="3" t="n">
        <v>21003642.32</v>
      </c>
      <c r="K147" s="3" t="n">
        <v>6999299.82</v>
      </c>
      <c r="L147" s="3" t="n">
        <v>0</v>
      </c>
      <c r="M147" s="3" t="n">
        <v>11163972.31</v>
      </c>
      <c r="N147" s="3" t="n">
        <v>0</v>
      </c>
      <c r="O147" s="3" t="n">
        <v>514487.25</v>
      </c>
      <c r="P147" s="3" t="n">
        <v>5236392.61</v>
      </c>
      <c r="Q147" s="3" t="n">
        <v>593344246.29</v>
      </c>
    </row>
    <row r="148" customFormat="false" ht="15" hidden="false" customHeight="false" outlineLevel="0" collapsed="false">
      <c r="A148" s="2" t="s">
        <v>157</v>
      </c>
      <c r="B148" s="3" t="n">
        <v>168733389.85</v>
      </c>
      <c r="C148" s="3" t="n">
        <v>84290007.79</v>
      </c>
      <c r="D148" s="3" t="n">
        <v>106827376.33</v>
      </c>
      <c r="E148" s="3" t="n">
        <v>50252540.78</v>
      </c>
      <c r="F148" s="3" t="n">
        <v>36721769.34</v>
      </c>
      <c r="G148" s="3" t="n">
        <v>44728242.37</v>
      </c>
      <c r="H148" s="3" t="n">
        <v>53199657.76</v>
      </c>
      <c r="I148" s="3" t="n">
        <v>21304934.65</v>
      </c>
      <c r="J148" s="3" t="n">
        <v>34527985.18</v>
      </c>
      <c r="K148" s="3" t="n">
        <v>138045002.56</v>
      </c>
      <c r="L148" s="3" t="n">
        <v>0</v>
      </c>
      <c r="M148" s="3" t="n">
        <v>8462564.93</v>
      </c>
      <c r="N148" s="3" t="n">
        <v>0</v>
      </c>
      <c r="O148" s="3" t="n">
        <v>4139765.77</v>
      </c>
      <c r="P148" s="3" t="n">
        <v>11283683.46</v>
      </c>
      <c r="Q148" s="3" t="n">
        <v>816344147.43</v>
      </c>
    </row>
    <row r="149" customFormat="false" ht="15" hidden="false" customHeight="false" outlineLevel="0" collapsed="false">
      <c r="A149" s="2" t="s">
        <v>158</v>
      </c>
      <c r="B149" s="3" t="n">
        <v>133856015.65</v>
      </c>
      <c r="C149" s="3" t="n">
        <v>84501342.39</v>
      </c>
      <c r="D149" s="3" t="n">
        <v>93652785.25</v>
      </c>
      <c r="E149" s="3" t="n">
        <v>35627822.25</v>
      </c>
      <c r="F149" s="3" t="n">
        <v>44546510.62</v>
      </c>
      <c r="G149" s="3" t="n">
        <v>49049637.5</v>
      </c>
      <c r="H149" s="3" t="n">
        <v>1102477.66</v>
      </c>
      <c r="I149" s="3" t="n">
        <v>24700872.45</v>
      </c>
      <c r="J149" s="3" t="n">
        <v>24185462.31</v>
      </c>
      <c r="K149" s="3" t="n">
        <v>3924909.75</v>
      </c>
      <c r="L149" s="3" t="n">
        <v>0</v>
      </c>
      <c r="M149" s="3" t="n">
        <v>8723714.34</v>
      </c>
      <c r="N149" s="3" t="n">
        <v>0</v>
      </c>
      <c r="O149" s="3" t="n">
        <v>6607836.59</v>
      </c>
      <c r="P149" s="3" t="n">
        <v>7343082.72</v>
      </c>
      <c r="Q149" s="3" t="n">
        <v>588952719.85</v>
      </c>
    </row>
    <row r="150" customFormat="false" ht="15" hidden="false" customHeight="false" outlineLevel="0" collapsed="false">
      <c r="A150" s="2" t="s">
        <v>159</v>
      </c>
      <c r="B150" s="3" t="n">
        <v>239048616.75</v>
      </c>
      <c r="C150" s="3" t="n">
        <v>102640535.91</v>
      </c>
      <c r="D150" s="3" t="n">
        <v>111175244.15</v>
      </c>
      <c r="E150" s="3" t="n">
        <v>51473619.33</v>
      </c>
      <c r="F150" s="3" t="n">
        <v>30631826.1</v>
      </c>
      <c r="G150" s="3" t="n">
        <v>48844205.9</v>
      </c>
      <c r="H150" s="3" t="n">
        <v>49987014.97</v>
      </c>
      <c r="I150" s="3" t="n">
        <v>24482183.78</v>
      </c>
      <c r="J150" s="3" t="n">
        <v>24815854.62</v>
      </c>
      <c r="K150" s="3" t="n">
        <v>79469822.02</v>
      </c>
      <c r="L150" s="3" t="n">
        <v>0</v>
      </c>
      <c r="M150" s="3" t="n">
        <v>10061524.33</v>
      </c>
      <c r="N150" s="3" t="n">
        <v>0</v>
      </c>
      <c r="O150" s="3" t="n">
        <v>51743930.83</v>
      </c>
      <c r="P150" s="3" t="n">
        <v>8043482.35</v>
      </c>
      <c r="Q150" s="3" t="n">
        <v>945024923.27</v>
      </c>
    </row>
    <row r="151" customFormat="false" ht="15" hidden="false" customHeight="false" outlineLevel="0" collapsed="false">
      <c r="A151" s="2" t="s">
        <v>160</v>
      </c>
      <c r="B151" s="3" t="n">
        <v>192606566.16</v>
      </c>
      <c r="C151" s="3" t="n">
        <v>141035388.11</v>
      </c>
      <c r="D151" s="3" t="n">
        <v>188703267.64</v>
      </c>
      <c r="E151" s="3" t="n">
        <v>59425264.55</v>
      </c>
      <c r="F151" s="3" t="n">
        <v>40958317.9</v>
      </c>
      <c r="G151" s="3" t="n">
        <v>41749828.31</v>
      </c>
      <c r="H151" s="3" t="n">
        <v>52189206.23</v>
      </c>
      <c r="I151" s="3" t="n">
        <v>49986047.93</v>
      </c>
      <c r="J151" s="3" t="n">
        <v>21796627.41</v>
      </c>
      <c r="K151" s="3" t="n">
        <v>3971677.79</v>
      </c>
      <c r="L151" s="3" t="n">
        <v>384.86</v>
      </c>
      <c r="M151" s="3" t="n">
        <v>13740350.72</v>
      </c>
      <c r="N151" s="3" t="n">
        <v>0</v>
      </c>
      <c r="O151" s="3" t="n">
        <v>4157472.43</v>
      </c>
      <c r="P151" s="3" t="n">
        <v>4885846.47</v>
      </c>
      <c r="Q151" s="3" t="n">
        <v>862135526.11</v>
      </c>
    </row>
    <row r="152" customFormat="false" ht="15" hidden="false" customHeight="false" outlineLevel="0" collapsed="false">
      <c r="A152" s="2" t="s">
        <v>161</v>
      </c>
      <c r="B152" s="3" t="n">
        <v>314865116.34</v>
      </c>
      <c r="C152" s="3" t="n">
        <v>67473353.6</v>
      </c>
      <c r="D152" s="3" t="n">
        <v>79012966.97</v>
      </c>
      <c r="E152" s="3" t="n">
        <v>31308872.71</v>
      </c>
      <c r="F152" s="3" t="n">
        <v>17839078.59</v>
      </c>
      <c r="G152" s="3" t="n">
        <v>34942428.71</v>
      </c>
      <c r="H152" s="3" t="n">
        <v>27744491.98</v>
      </c>
      <c r="I152" s="3" t="n">
        <v>15717898.97</v>
      </c>
      <c r="J152" s="3" t="n">
        <v>17904054.82</v>
      </c>
      <c r="K152" s="3" t="n">
        <v>5917564.96</v>
      </c>
      <c r="L152" s="3" t="n">
        <v>0</v>
      </c>
      <c r="M152" s="3" t="n">
        <v>4107817.03</v>
      </c>
      <c r="N152" s="3" t="n">
        <v>0</v>
      </c>
      <c r="O152" s="3" t="n">
        <v>1330892.93</v>
      </c>
      <c r="P152" s="3" t="n">
        <v>6427497.99</v>
      </c>
      <c r="Q152" s="3" t="n">
        <v>661132852.64</v>
      </c>
    </row>
    <row r="153" customFormat="false" ht="15" hidden="false" customHeight="false" outlineLevel="0" collapsed="false">
      <c r="A153" s="2" t="s">
        <v>162</v>
      </c>
      <c r="B153" s="3" t="n">
        <v>262370748.25</v>
      </c>
      <c r="C153" s="3" t="n">
        <v>51729879.73</v>
      </c>
      <c r="D153" s="3" t="n">
        <v>43420399.68</v>
      </c>
      <c r="E153" s="3" t="n">
        <v>25640966.67</v>
      </c>
      <c r="F153" s="3" t="n">
        <v>24459656.04</v>
      </c>
      <c r="G153" s="3" t="n">
        <v>23736280.22</v>
      </c>
      <c r="H153" s="3" t="n">
        <v>17162916.14</v>
      </c>
      <c r="I153" s="3" t="n">
        <v>12846631.69</v>
      </c>
      <c r="J153" s="3" t="n">
        <v>12307167.1</v>
      </c>
      <c r="K153" s="3" t="n">
        <v>707030.07</v>
      </c>
      <c r="L153" s="3" t="n">
        <v>9.94</v>
      </c>
      <c r="M153" s="3" t="n">
        <v>8073545.76</v>
      </c>
      <c r="N153" s="3" t="n">
        <v>0</v>
      </c>
      <c r="O153" s="3" t="n">
        <v>7091203.94</v>
      </c>
      <c r="P153" s="3" t="n">
        <v>5510119.05</v>
      </c>
      <c r="Q153" s="3" t="n">
        <v>534325799.46</v>
      </c>
    </row>
    <row r="154" customFormat="false" ht="15" hidden="false" customHeight="false" outlineLevel="0" collapsed="false">
      <c r="A154" s="2" t="s">
        <v>163</v>
      </c>
      <c r="B154" s="3" t="n">
        <v>218853939.67</v>
      </c>
      <c r="C154" s="3" t="n">
        <v>96049915.19</v>
      </c>
      <c r="D154" s="3" t="n">
        <v>95013902.65</v>
      </c>
      <c r="E154" s="3" t="n">
        <v>57952326.37</v>
      </c>
      <c r="F154" s="3" t="n">
        <v>46495657.33</v>
      </c>
      <c r="G154" s="3" t="n">
        <v>26751452.06</v>
      </c>
      <c r="H154" s="3" t="n">
        <v>25784315.3</v>
      </c>
      <c r="I154" s="3" t="n">
        <v>16339704.79</v>
      </c>
      <c r="J154" s="3" t="n">
        <v>13620399.24</v>
      </c>
      <c r="K154" s="3" t="n">
        <v>1665270.87</v>
      </c>
      <c r="L154" s="3" t="n">
        <v>0</v>
      </c>
      <c r="M154" s="3" t="n">
        <v>8287160.09</v>
      </c>
      <c r="N154" s="3" t="n">
        <v>0</v>
      </c>
      <c r="O154" s="3" t="n">
        <v>112033357.16</v>
      </c>
      <c r="P154" s="3" t="n">
        <v>6259958.98</v>
      </c>
      <c r="Q154" s="3" t="n">
        <v>782618242.62</v>
      </c>
    </row>
    <row r="155" customFormat="false" ht="15" hidden="false" customHeight="false" outlineLevel="0" collapsed="false">
      <c r="A155" s="2" t="s">
        <v>164</v>
      </c>
      <c r="B155" s="3" t="n">
        <v>167438359.94</v>
      </c>
      <c r="C155" s="3" t="n">
        <v>107673585.78</v>
      </c>
      <c r="D155" s="3" t="n">
        <v>84528539.15</v>
      </c>
      <c r="E155" s="3" t="n">
        <v>38512089.57</v>
      </c>
      <c r="F155" s="3" t="n">
        <v>40762008.96</v>
      </c>
      <c r="G155" s="3" t="n">
        <v>32324543.06</v>
      </c>
      <c r="H155" s="3" t="n">
        <v>66960267.41</v>
      </c>
      <c r="I155" s="3" t="n">
        <v>21786887.04</v>
      </c>
      <c r="J155" s="3" t="n">
        <v>26690110.34</v>
      </c>
      <c r="K155" s="3" t="n">
        <v>107595867.06</v>
      </c>
      <c r="L155" s="3" t="n">
        <v>0</v>
      </c>
      <c r="M155" s="3" t="n">
        <v>43854574.43</v>
      </c>
      <c r="N155" s="3" t="n">
        <v>0</v>
      </c>
      <c r="O155" s="3" t="n">
        <v>4943555.46</v>
      </c>
      <c r="P155" s="3" t="n">
        <v>6664297.87</v>
      </c>
      <c r="Q155" s="3" t="n">
        <v>866961444.17</v>
      </c>
    </row>
    <row r="156" customFormat="false" ht="15" hidden="false" customHeight="false" outlineLevel="0" collapsed="false">
      <c r="A156" s="2" t="s">
        <v>165</v>
      </c>
      <c r="B156" s="3" t="n">
        <v>159693387.52</v>
      </c>
      <c r="C156" s="3" t="n">
        <v>86838604.16</v>
      </c>
      <c r="D156" s="3" t="n">
        <v>71984572.59</v>
      </c>
      <c r="E156" s="3" t="n">
        <v>36149967.14</v>
      </c>
      <c r="F156" s="3" t="n">
        <v>35418853.83</v>
      </c>
      <c r="G156" s="3" t="n">
        <v>35208885.85</v>
      </c>
      <c r="H156" s="3" t="n">
        <v>67203123.92</v>
      </c>
      <c r="I156" s="3" t="n">
        <v>24799761.93</v>
      </c>
      <c r="J156" s="3" t="n">
        <v>11744723.87</v>
      </c>
      <c r="K156" s="3" t="n">
        <v>10659667.6</v>
      </c>
      <c r="L156" s="3" t="n">
        <v>37.37</v>
      </c>
      <c r="M156" s="3" t="n">
        <v>35481009.16</v>
      </c>
      <c r="N156" s="3" t="n">
        <v>17038635.09</v>
      </c>
      <c r="O156" s="3" t="n">
        <v>5888963.54</v>
      </c>
      <c r="P156" s="3" t="n">
        <v>6032946.57</v>
      </c>
      <c r="Q156" s="3" t="n">
        <v>806810900.75</v>
      </c>
    </row>
    <row r="157" customFormat="false" ht="15" hidden="false" customHeight="false" outlineLevel="0" collapsed="false">
      <c r="A157" s="2" t="s">
        <v>166</v>
      </c>
      <c r="B157" s="3" t="n">
        <v>175031591.27</v>
      </c>
      <c r="C157" s="3" t="n">
        <v>126804334.69</v>
      </c>
      <c r="D157" s="3" t="n">
        <v>110179633.1</v>
      </c>
      <c r="E157" s="3" t="n">
        <v>49558961.66</v>
      </c>
      <c r="F157" s="3" t="n">
        <v>36508866.14</v>
      </c>
      <c r="G157" s="3" t="n">
        <v>47104534.78</v>
      </c>
      <c r="H157" s="3" t="n">
        <v>52870940.32</v>
      </c>
      <c r="I157" s="3" t="n">
        <v>25148708.13</v>
      </c>
      <c r="J157" s="3" t="n">
        <v>18440944.32</v>
      </c>
      <c r="K157" s="3" t="n">
        <v>1810483.24</v>
      </c>
      <c r="L157" s="3" t="n">
        <v>0</v>
      </c>
      <c r="M157" s="3" t="n">
        <v>34025957.5</v>
      </c>
      <c r="N157" s="3" t="n">
        <v>78206989.48</v>
      </c>
      <c r="O157" s="3" t="n">
        <v>5511928.14</v>
      </c>
      <c r="P157" s="3" t="n">
        <v>6342775.45</v>
      </c>
      <c r="Q157" s="3" t="n">
        <v>983265970.22</v>
      </c>
    </row>
    <row r="158" customFormat="false" ht="15" hidden="false" customHeight="false" outlineLevel="0" collapsed="false">
      <c r="A158" s="2" t="s">
        <v>167</v>
      </c>
      <c r="B158" s="3" t="n">
        <v>230267093.61</v>
      </c>
      <c r="C158" s="3" t="n">
        <v>141282120.23</v>
      </c>
      <c r="D158" s="3" t="n">
        <v>75762730.01</v>
      </c>
      <c r="E158" s="3" t="n">
        <v>56839812.19</v>
      </c>
      <c r="F158" s="3" t="n">
        <v>31175270.31</v>
      </c>
      <c r="G158" s="3" t="n">
        <v>43563165.28</v>
      </c>
      <c r="H158" s="3" t="n">
        <v>67569945.44</v>
      </c>
      <c r="I158" s="3" t="n">
        <v>26658147.06</v>
      </c>
      <c r="J158" s="3" t="n">
        <v>23118542.3</v>
      </c>
      <c r="K158" s="3" t="n">
        <v>76488782.51</v>
      </c>
      <c r="L158" s="3" t="n">
        <v>2.93</v>
      </c>
      <c r="M158" s="3" t="n">
        <v>60478667.31</v>
      </c>
      <c r="N158" s="3" t="n">
        <v>88505005.23</v>
      </c>
      <c r="O158" s="3" t="n">
        <v>4328662.18</v>
      </c>
      <c r="P158" s="3" t="n">
        <v>6404359.46</v>
      </c>
      <c r="Q158" s="3" t="n">
        <v>1027908615.41</v>
      </c>
    </row>
    <row r="159" customFormat="false" ht="15" hidden="false" customHeight="false" outlineLevel="0" collapsed="false">
      <c r="A159" s="2" t="s">
        <v>168</v>
      </c>
      <c r="B159" s="3" t="n">
        <v>151809638.38</v>
      </c>
      <c r="C159" s="3" t="n">
        <v>45380426.07</v>
      </c>
      <c r="D159" s="3" t="n">
        <v>52047166.25</v>
      </c>
      <c r="E159" s="3" t="n">
        <v>96001533.56</v>
      </c>
      <c r="F159" s="3" t="n">
        <v>21116043.86</v>
      </c>
      <c r="G159" s="3" t="n">
        <v>22419066.29</v>
      </c>
      <c r="H159" s="3" t="n">
        <v>46211020.34</v>
      </c>
      <c r="I159" s="3" t="n">
        <v>16061444.18</v>
      </c>
      <c r="J159" s="3" t="n">
        <v>11217378.65</v>
      </c>
      <c r="K159" s="3" t="n">
        <v>503765.23</v>
      </c>
      <c r="L159" s="3" t="n">
        <v>0</v>
      </c>
      <c r="M159" s="3" t="n">
        <v>19251629.5</v>
      </c>
      <c r="N159" s="3" t="n">
        <v>39826243.72</v>
      </c>
      <c r="O159" s="3" t="n">
        <v>2645612.65</v>
      </c>
      <c r="P159" s="3" t="n">
        <v>4742416.26</v>
      </c>
      <c r="Q159" s="3" t="n">
        <v>692236343.39</v>
      </c>
    </row>
    <row r="160" customFormat="false" ht="15" hidden="false" customHeight="false" outlineLevel="0" collapsed="false">
      <c r="A160" s="2" t="s">
        <v>169</v>
      </c>
      <c r="B160" s="3" t="n">
        <v>84174722.51</v>
      </c>
      <c r="C160" s="3" t="n">
        <v>55771714.27</v>
      </c>
      <c r="D160" s="3" t="n">
        <v>54692796.17</v>
      </c>
      <c r="E160" s="3" t="n">
        <v>33539361.99</v>
      </c>
      <c r="F160" s="3" t="n">
        <v>28612370.44</v>
      </c>
      <c r="G160" s="3" t="n">
        <v>19106490.69</v>
      </c>
      <c r="H160" s="3" t="n">
        <v>47649407.86</v>
      </c>
      <c r="I160" s="3" t="n">
        <v>18636042.62</v>
      </c>
      <c r="J160" s="3" t="n">
        <v>11669573.29</v>
      </c>
      <c r="K160" s="3" t="n">
        <v>1208868.19</v>
      </c>
      <c r="L160" s="3" t="n">
        <v>0</v>
      </c>
      <c r="M160" s="3" t="n">
        <v>12926998.55</v>
      </c>
      <c r="N160" s="3" t="n">
        <v>31868072.03</v>
      </c>
      <c r="O160" s="3" t="n">
        <v>314155.43</v>
      </c>
      <c r="P160" s="3" t="n">
        <v>6844964.41</v>
      </c>
      <c r="Q160" s="3" t="n">
        <v>537929010.31</v>
      </c>
    </row>
    <row r="161" customFormat="false" ht="15" hidden="false" customHeight="false" outlineLevel="0" collapsed="false">
      <c r="A161" s="2" t="s">
        <v>170</v>
      </c>
      <c r="B161" s="3" t="n">
        <v>189448757.4</v>
      </c>
      <c r="C161" s="3" t="n">
        <v>150177774.93</v>
      </c>
      <c r="D161" s="3" t="n">
        <v>148174849.17</v>
      </c>
      <c r="E161" s="3" t="n">
        <v>72952835.06</v>
      </c>
      <c r="F161" s="3" t="n">
        <v>43971370.78</v>
      </c>
      <c r="G161" s="3" t="n">
        <v>38990863.78</v>
      </c>
      <c r="H161" s="3" t="n">
        <v>41876236.57</v>
      </c>
      <c r="I161" s="3" t="n">
        <v>39629405.22</v>
      </c>
      <c r="J161" s="3" t="n">
        <v>17791719.17</v>
      </c>
      <c r="K161" s="3" t="n">
        <v>8643427.86</v>
      </c>
      <c r="L161" s="3" t="n">
        <v>0</v>
      </c>
      <c r="M161" s="3" t="n">
        <v>45314288.72</v>
      </c>
      <c r="N161" s="3" t="n">
        <v>58067064.32</v>
      </c>
      <c r="O161" s="3" t="n">
        <v>6926802.8</v>
      </c>
      <c r="P161" s="3" t="n">
        <v>4004529.48</v>
      </c>
      <c r="Q161" s="3" t="n">
        <v>1009938175.81</v>
      </c>
    </row>
    <row r="162" customFormat="false" ht="15" hidden="false" customHeight="false" outlineLevel="0" collapsed="false">
      <c r="A162" s="2" t="s">
        <v>171</v>
      </c>
      <c r="B162" s="3" t="n">
        <v>484106352.5</v>
      </c>
      <c r="C162" s="3" t="n">
        <v>162735904.53</v>
      </c>
      <c r="D162" s="3" t="n">
        <v>219276339.46</v>
      </c>
      <c r="E162" s="3" t="n">
        <v>113495683.23</v>
      </c>
      <c r="F162" s="3" t="n">
        <v>33719687.37</v>
      </c>
      <c r="G162" s="3" t="n">
        <v>49161649.5</v>
      </c>
      <c r="H162" s="3" t="n">
        <v>26997605.64</v>
      </c>
      <c r="I162" s="3" t="n">
        <v>52747955.74</v>
      </c>
      <c r="J162" s="3" t="n">
        <v>30536128.3</v>
      </c>
      <c r="K162" s="3" t="n">
        <v>2340530.08</v>
      </c>
      <c r="L162" s="3" t="n">
        <v>0</v>
      </c>
      <c r="M162" s="3" t="n">
        <v>43120937.42</v>
      </c>
      <c r="N162" s="3" t="n">
        <v>103750422.83</v>
      </c>
      <c r="O162" s="3" t="n">
        <v>15520278.22</v>
      </c>
      <c r="P162" s="3" t="n">
        <v>9237475.35</v>
      </c>
      <c r="Q162" s="3" t="n">
        <v>1479590549.81</v>
      </c>
    </row>
    <row r="163" customFormat="false" ht="15" hidden="false" customHeight="false" outlineLevel="0" collapsed="false">
      <c r="A163" s="2" t="s">
        <v>172</v>
      </c>
      <c r="B163" s="3" t="n">
        <v>153838150.11</v>
      </c>
      <c r="C163" s="3" t="n">
        <v>147238857.53</v>
      </c>
      <c r="D163" s="3" t="n">
        <v>177669761.79</v>
      </c>
      <c r="E163" s="3" t="n">
        <v>44171988.71</v>
      </c>
      <c r="F163" s="3" t="n">
        <v>31963705.5</v>
      </c>
      <c r="G163" s="3" t="n">
        <v>44769151.09</v>
      </c>
      <c r="H163" s="3" t="n">
        <v>2191827.98</v>
      </c>
      <c r="I163" s="3" t="n">
        <v>31509720.97</v>
      </c>
      <c r="J163" s="3" t="n">
        <v>22722229.65</v>
      </c>
      <c r="K163" s="3" t="n">
        <v>2213628.59</v>
      </c>
      <c r="L163" s="3" t="n">
        <v>0</v>
      </c>
      <c r="M163" s="3" t="n">
        <v>26660422.03</v>
      </c>
      <c r="N163" s="3" t="n">
        <v>64047949.47</v>
      </c>
      <c r="O163" s="3" t="n">
        <v>2624887.12</v>
      </c>
      <c r="P163" s="3" t="n">
        <v>6068039.9</v>
      </c>
      <c r="Q163" s="3" t="n">
        <v>827655414.18</v>
      </c>
    </row>
    <row r="164" customFormat="false" ht="15" hidden="false" customHeight="false" outlineLevel="0" collapsed="false">
      <c r="A164" s="2" t="s">
        <v>173</v>
      </c>
      <c r="B164" s="3" t="n">
        <v>164029497.68</v>
      </c>
      <c r="C164" s="3" t="n">
        <v>124523552.38</v>
      </c>
      <c r="D164" s="3" t="n">
        <v>116680396.19</v>
      </c>
      <c r="E164" s="3" t="n">
        <v>46446909.85</v>
      </c>
      <c r="F164" s="3" t="n">
        <v>50652918.04</v>
      </c>
      <c r="G164" s="3" t="n">
        <v>57186417.81</v>
      </c>
      <c r="H164" s="3" t="n">
        <v>1820692.95</v>
      </c>
      <c r="I164" s="3" t="n">
        <v>52003276.05</v>
      </c>
      <c r="J164" s="3" t="n">
        <v>23733836.24</v>
      </c>
      <c r="K164" s="3" t="n">
        <v>4103598.09</v>
      </c>
      <c r="L164" s="3" t="n">
        <v>0</v>
      </c>
      <c r="M164" s="3" t="n">
        <v>25913381.62</v>
      </c>
      <c r="N164" s="3" t="n">
        <v>77487836.64</v>
      </c>
      <c r="O164" s="3" t="n">
        <v>1254092.85</v>
      </c>
      <c r="P164" s="3" t="n">
        <v>8195533.7</v>
      </c>
      <c r="Q164" s="3" t="n">
        <v>818134351.06</v>
      </c>
    </row>
    <row r="165" customFormat="false" ht="15" hidden="false" customHeight="false" outlineLevel="0" collapsed="false">
      <c r="A165" s="2" t="s">
        <v>174</v>
      </c>
      <c r="B165" s="3" t="n">
        <v>169995556.64</v>
      </c>
      <c r="C165" s="3" t="n">
        <v>115478939.69</v>
      </c>
      <c r="D165" s="3" t="n">
        <v>222227319.08</v>
      </c>
      <c r="E165" s="3" t="n">
        <v>49741565.56</v>
      </c>
      <c r="F165" s="3" t="n">
        <v>52305989.5</v>
      </c>
      <c r="G165" s="3" t="n">
        <v>42838348.34</v>
      </c>
      <c r="H165" s="3" t="n">
        <v>1494304.4</v>
      </c>
      <c r="I165" s="3" t="n">
        <v>35389332.57</v>
      </c>
      <c r="J165" s="3" t="n">
        <v>33350224.74</v>
      </c>
      <c r="K165" s="3" t="n">
        <v>3185710.86</v>
      </c>
      <c r="L165" s="3" t="n">
        <v>61.85</v>
      </c>
      <c r="M165" s="3" t="n">
        <v>18671515.81</v>
      </c>
      <c r="N165" s="3" t="n">
        <v>56175819.23</v>
      </c>
      <c r="O165" s="3" t="n">
        <v>2135927.79</v>
      </c>
      <c r="P165" s="3" t="n">
        <v>7179408.19</v>
      </c>
      <c r="Q165" s="3" t="n">
        <v>894143947.74</v>
      </c>
    </row>
    <row r="166" customFormat="false" ht="15" hidden="false" customHeight="false" outlineLevel="0" collapsed="false">
      <c r="A166" s="2" t="s">
        <v>175</v>
      </c>
      <c r="B166" s="3" t="n">
        <v>112560695.64</v>
      </c>
      <c r="C166" s="3" t="n">
        <v>48215470.29</v>
      </c>
      <c r="D166" s="3" t="n">
        <v>58498484.52</v>
      </c>
      <c r="E166" s="3" t="n">
        <v>32614207.46</v>
      </c>
      <c r="F166" s="3" t="n">
        <v>16834770.38</v>
      </c>
      <c r="G166" s="3" t="n">
        <v>21143657.94</v>
      </c>
      <c r="H166" s="3" t="n">
        <v>1081076.3</v>
      </c>
      <c r="I166" s="3" t="n">
        <v>15196507.36</v>
      </c>
      <c r="J166" s="3" t="n">
        <v>10537394.12</v>
      </c>
      <c r="K166" s="3" t="n">
        <v>1797203.74</v>
      </c>
      <c r="L166" s="3" t="n">
        <v>0</v>
      </c>
      <c r="M166" s="3" t="n">
        <v>5570525.01</v>
      </c>
      <c r="N166" s="3" t="n">
        <v>47927420.42</v>
      </c>
      <c r="O166" s="3" t="n">
        <v>477998.85</v>
      </c>
      <c r="P166" s="3" t="n">
        <v>5399119.04</v>
      </c>
      <c r="Q166" s="3" t="n">
        <v>415996589.13</v>
      </c>
    </row>
    <row r="167" customFormat="false" ht="15" hidden="false" customHeight="false" outlineLevel="0" collapsed="false">
      <c r="A167" s="2" t="s">
        <v>176</v>
      </c>
      <c r="B167" s="3" t="n">
        <v>84398179.03</v>
      </c>
      <c r="C167" s="3" t="n">
        <v>47755900.12</v>
      </c>
      <c r="D167" s="3" t="n">
        <v>45186356.95</v>
      </c>
      <c r="E167" s="3" t="n">
        <v>21927801.71</v>
      </c>
      <c r="F167" s="3" t="n">
        <v>21852459.24</v>
      </c>
      <c r="G167" s="3" t="n">
        <v>24397973.06</v>
      </c>
      <c r="H167" s="3" t="n">
        <v>766635</v>
      </c>
      <c r="I167" s="3" t="n">
        <v>13358052.94</v>
      </c>
      <c r="J167" s="3" t="n">
        <v>12049120.53</v>
      </c>
      <c r="K167" s="3" t="n">
        <v>1410413.79</v>
      </c>
      <c r="L167" s="3" t="n">
        <v>598.66</v>
      </c>
      <c r="M167" s="3" t="n">
        <v>2372870.74</v>
      </c>
      <c r="N167" s="3" t="n">
        <v>25538795.77</v>
      </c>
      <c r="O167" s="3" t="n">
        <v>144049.6</v>
      </c>
      <c r="P167" s="3" t="n">
        <v>5145172.04</v>
      </c>
      <c r="Q167" s="3" t="n">
        <v>335997247.19</v>
      </c>
    </row>
    <row r="168" customFormat="false" ht="15" hidden="false" customHeight="false" outlineLevel="0" collapsed="false">
      <c r="A168" s="2" t="s">
        <v>177</v>
      </c>
      <c r="B168" s="3" t="n">
        <v>232765601.27</v>
      </c>
      <c r="C168" s="3" t="n">
        <v>101458355.32</v>
      </c>
      <c r="D168" s="3" t="n">
        <v>139066912.71</v>
      </c>
      <c r="E168" s="3" t="n">
        <v>72345849.14</v>
      </c>
      <c r="F168" s="3" t="n">
        <v>25604344.31</v>
      </c>
      <c r="G168" s="3" t="n">
        <v>51544391.7</v>
      </c>
      <c r="H168" s="3" t="n">
        <v>876500.77</v>
      </c>
      <c r="I168" s="3" t="n">
        <v>17400723.47</v>
      </c>
      <c r="J168" s="3" t="n">
        <v>17413262.62</v>
      </c>
      <c r="K168" s="3" t="n">
        <v>7263725.19</v>
      </c>
      <c r="L168" s="3" t="n">
        <v>0</v>
      </c>
      <c r="M168" s="3" t="n">
        <v>7614552.28</v>
      </c>
      <c r="N168" s="3" t="n">
        <v>91436086</v>
      </c>
      <c r="O168" s="3" t="n">
        <v>5024989.48</v>
      </c>
      <c r="P168" s="3" t="n">
        <v>7597340.31</v>
      </c>
      <c r="Q168" s="3" t="n">
        <v>831316520.02</v>
      </c>
    </row>
    <row r="169" customFormat="false" ht="15" hidden="false" customHeight="false" outlineLevel="0" collapsed="false">
      <c r="A169" s="2" t="s">
        <v>178</v>
      </c>
      <c r="B169" s="3" t="n">
        <v>170823552.27</v>
      </c>
      <c r="C169" s="3" t="n">
        <v>100444003.18</v>
      </c>
      <c r="D169" s="3" t="n">
        <v>98447812.26</v>
      </c>
      <c r="E169" s="3" t="n">
        <v>40218560.55</v>
      </c>
      <c r="F169" s="3" t="n">
        <v>32630559.46</v>
      </c>
      <c r="G169" s="3" t="n">
        <v>42373238.23</v>
      </c>
      <c r="H169" s="3" t="n">
        <v>1128886.53</v>
      </c>
      <c r="I169" s="3" t="n">
        <v>27172202.59</v>
      </c>
      <c r="J169" s="3" t="n">
        <v>20171377.19</v>
      </c>
      <c r="K169" s="3" t="n">
        <v>3366795.18</v>
      </c>
      <c r="L169" s="3" t="n">
        <v>0</v>
      </c>
      <c r="M169" s="3" t="n">
        <v>11428363.56</v>
      </c>
      <c r="N169" s="3" t="n">
        <v>53431458.41</v>
      </c>
      <c r="O169" s="3" t="n">
        <v>8671163.36</v>
      </c>
      <c r="P169" s="3" t="n">
        <v>3791987.46</v>
      </c>
      <c r="Q169" s="3" t="n">
        <v>664587146.38</v>
      </c>
    </row>
    <row r="170" customFormat="false" ht="15" hidden="false" customHeight="false" outlineLevel="0" collapsed="false">
      <c r="A170" s="2" t="s">
        <v>179</v>
      </c>
      <c r="B170" s="3" t="n">
        <v>119743619.09</v>
      </c>
      <c r="C170" s="3" t="n">
        <v>77633776.12</v>
      </c>
      <c r="D170" s="3" t="n">
        <v>81426130.91</v>
      </c>
      <c r="E170" s="3" t="n">
        <v>38745977.33</v>
      </c>
      <c r="F170" s="3" t="n">
        <v>18147054.2</v>
      </c>
      <c r="G170" s="3" t="n">
        <v>29905178.16</v>
      </c>
      <c r="H170" s="3" t="n">
        <v>857123.78</v>
      </c>
      <c r="I170" s="3" t="n">
        <v>19624336.56</v>
      </c>
      <c r="J170" s="3" t="n">
        <v>15216385.3</v>
      </c>
      <c r="K170" s="3" t="n">
        <v>1987394.94</v>
      </c>
      <c r="L170" s="3" t="n">
        <v>0</v>
      </c>
      <c r="M170" s="3" t="n">
        <v>7205297.69</v>
      </c>
      <c r="N170" s="3" t="n">
        <v>49398214.11</v>
      </c>
      <c r="O170" s="3" t="n">
        <v>1113304.06</v>
      </c>
      <c r="P170" s="3" t="n">
        <v>3938556.94</v>
      </c>
      <c r="Q170" s="3" t="n">
        <v>504196748.26</v>
      </c>
    </row>
    <row r="171" customFormat="false" ht="15" hidden="false" customHeight="false" outlineLevel="0" collapsed="false">
      <c r="A171" s="2" t="s">
        <v>180</v>
      </c>
      <c r="B171" s="3" t="n">
        <v>116890261.61</v>
      </c>
      <c r="C171" s="3" t="n">
        <v>78445345.01</v>
      </c>
      <c r="D171" s="3" t="n">
        <v>62874882.45</v>
      </c>
      <c r="E171" s="3" t="n">
        <v>36468971.45</v>
      </c>
      <c r="F171" s="3" t="n">
        <v>19307300.62</v>
      </c>
      <c r="G171" s="3" t="n">
        <v>31451958.86</v>
      </c>
      <c r="H171" s="3" t="n">
        <v>805655.63</v>
      </c>
      <c r="I171" s="3" t="n">
        <v>17600580.31</v>
      </c>
      <c r="J171" s="3" t="n">
        <v>14722324.99</v>
      </c>
      <c r="K171" s="3" t="n">
        <v>665409.2</v>
      </c>
      <c r="L171" s="3" t="n">
        <v>0</v>
      </c>
      <c r="M171" s="3" t="n">
        <v>5673917.23</v>
      </c>
      <c r="N171" s="3" t="n">
        <v>33264322.28</v>
      </c>
      <c r="O171" s="3" t="n">
        <v>4816157.81</v>
      </c>
      <c r="P171" s="3" t="n">
        <v>7504409.32</v>
      </c>
      <c r="Q171" s="3" t="n">
        <v>479838179.31</v>
      </c>
    </row>
    <row r="172" customFormat="false" ht="15" hidden="false" customHeight="false" outlineLevel="0" collapsed="false">
      <c r="A172" s="2" t="s">
        <v>181</v>
      </c>
      <c r="B172" s="3" t="n">
        <v>321652115.2</v>
      </c>
      <c r="C172" s="3" t="n">
        <v>102583017.07</v>
      </c>
      <c r="D172" s="3" t="n">
        <v>110362460.69</v>
      </c>
      <c r="E172" s="3" t="n">
        <v>37093625.14</v>
      </c>
      <c r="F172" s="3" t="n">
        <v>21045526.84</v>
      </c>
      <c r="G172" s="3" t="n">
        <v>40425587.24</v>
      </c>
      <c r="H172" s="3" t="n">
        <v>1332994.6</v>
      </c>
      <c r="I172" s="3" t="n">
        <v>18704155.02</v>
      </c>
      <c r="J172" s="3" t="n">
        <v>20706692.05</v>
      </c>
      <c r="K172" s="3" t="n">
        <v>1248594.26</v>
      </c>
      <c r="L172" s="3" t="n">
        <v>0</v>
      </c>
      <c r="M172" s="3" t="n">
        <v>7388566.89</v>
      </c>
      <c r="N172" s="3" t="n">
        <v>240403931.73</v>
      </c>
      <c r="O172" s="3" t="n">
        <v>1223253.7</v>
      </c>
      <c r="P172" s="3" t="n">
        <v>4682414.5</v>
      </c>
      <c r="Q172" s="3" t="n">
        <v>968519877.68</v>
      </c>
    </row>
    <row r="173" customFormat="false" ht="15" hidden="false" customHeight="false" outlineLevel="0" collapsed="false">
      <c r="A173" s="2" t="s">
        <v>182</v>
      </c>
      <c r="B173" s="3" t="n">
        <v>108737549.01</v>
      </c>
      <c r="C173" s="3" t="n">
        <v>89606998.27</v>
      </c>
      <c r="D173" s="3" t="n">
        <v>86666801.2</v>
      </c>
      <c r="E173" s="3" t="n">
        <v>28154700.47</v>
      </c>
      <c r="F173" s="3" t="n">
        <v>23389752.09</v>
      </c>
      <c r="G173" s="3" t="n">
        <v>28822536.17</v>
      </c>
      <c r="H173" s="3" t="n">
        <v>998636.48</v>
      </c>
      <c r="I173" s="3" t="n">
        <v>12888269.64</v>
      </c>
      <c r="J173" s="3" t="n">
        <v>20138285.76</v>
      </c>
      <c r="K173" s="3" t="n">
        <v>1446576.43</v>
      </c>
      <c r="L173" s="3" t="n">
        <v>0.01</v>
      </c>
      <c r="M173" s="3" t="n">
        <v>6295689.46</v>
      </c>
      <c r="N173" s="3" t="n">
        <v>44705831.91</v>
      </c>
      <c r="O173" s="3" t="n">
        <v>1208208.41</v>
      </c>
      <c r="P173" s="3" t="n">
        <v>5808723.29</v>
      </c>
      <c r="Q173" s="3" t="n">
        <v>483611680.45</v>
      </c>
    </row>
    <row r="174" customFormat="false" ht="15" hidden="false" customHeight="false" outlineLevel="0" collapsed="false">
      <c r="A174" s="2" t="s">
        <v>183</v>
      </c>
      <c r="B174" s="3" t="n">
        <v>97467812.06</v>
      </c>
      <c r="C174" s="3" t="n">
        <v>140643154.3</v>
      </c>
      <c r="D174" s="3" t="n">
        <v>131284004.68</v>
      </c>
      <c r="E174" s="3" t="n">
        <v>33619435.95</v>
      </c>
      <c r="F174" s="3" t="n">
        <v>21358605.44</v>
      </c>
      <c r="G174" s="3" t="n">
        <v>48936519.37</v>
      </c>
      <c r="H174" s="3" t="n">
        <v>902130.27</v>
      </c>
      <c r="I174" s="3" t="n">
        <v>36071415.77</v>
      </c>
      <c r="J174" s="3" t="n">
        <v>41505217.98</v>
      </c>
      <c r="K174" s="3" t="n">
        <v>3440757.1</v>
      </c>
      <c r="L174" s="3" t="n">
        <v>18.6</v>
      </c>
      <c r="M174" s="3" t="n">
        <v>14496886.31</v>
      </c>
      <c r="N174" s="3" t="n">
        <v>35122886.81</v>
      </c>
      <c r="O174" s="3" t="n">
        <v>348788.99</v>
      </c>
      <c r="P174" s="3" t="n">
        <v>4718412.48</v>
      </c>
      <c r="Q174" s="3" t="n">
        <v>650039715.92</v>
      </c>
    </row>
    <row r="175" customFormat="false" ht="15" hidden="false" customHeight="false" outlineLevel="0" collapsed="false">
      <c r="A175" s="2" t="s">
        <v>184</v>
      </c>
      <c r="B175" s="3" t="n">
        <v>157945499.83</v>
      </c>
      <c r="C175" s="3" t="n">
        <v>122475369.02</v>
      </c>
      <c r="D175" s="3" t="n">
        <v>195599593.32</v>
      </c>
      <c r="E175" s="3" t="n">
        <v>38377678.31</v>
      </c>
      <c r="F175" s="3" t="n">
        <v>48184512.59</v>
      </c>
      <c r="G175" s="3" t="n">
        <v>36023579.7</v>
      </c>
      <c r="H175" s="3" t="n">
        <v>1131984.35</v>
      </c>
      <c r="I175" s="3" t="n">
        <v>21923905.13</v>
      </c>
      <c r="J175" s="3" t="n">
        <v>42286919.91</v>
      </c>
      <c r="K175" s="3" t="n">
        <v>3390225.62</v>
      </c>
      <c r="L175" s="3" t="n">
        <v>0</v>
      </c>
      <c r="M175" s="3" t="n">
        <v>9838404.78</v>
      </c>
      <c r="N175" s="3" t="n">
        <v>56818814.1</v>
      </c>
      <c r="O175" s="3" t="n">
        <v>6760359.43</v>
      </c>
      <c r="P175" s="3" t="n">
        <v>4357851.03</v>
      </c>
      <c r="Q175" s="3" t="n">
        <v>788909812.76</v>
      </c>
    </row>
    <row r="176" customFormat="false" ht="15" hidden="false" customHeight="false" outlineLevel="0" collapsed="false">
      <c r="A176" s="2" t="s">
        <v>185</v>
      </c>
      <c r="B176" s="3" t="n">
        <v>285658886.96</v>
      </c>
      <c r="C176" s="3" t="n">
        <v>144415338.63</v>
      </c>
      <c r="D176" s="3" t="n">
        <v>95099398.84</v>
      </c>
      <c r="E176" s="3" t="n">
        <v>43556612.95</v>
      </c>
      <c r="F176" s="3" t="n">
        <v>26367565.68</v>
      </c>
      <c r="G176" s="3" t="n">
        <v>30574334.69</v>
      </c>
      <c r="H176" s="3" t="n">
        <v>31578870.04</v>
      </c>
      <c r="I176" s="3" t="n">
        <v>14396782.71</v>
      </c>
      <c r="J176" s="3" t="n">
        <v>25363010.77</v>
      </c>
      <c r="K176" s="3" t="n">
        <v>5204908.78</v>
      </c>
      <c r="L176" s="3" t="n">
        <v>0</v>
      </c>
      <c r="M176" s="3" t="n">
        <v>20289808.36</v>
      </c>
      <c r="N176" s="3" t="n">
        <v>198370908.59</v>
      </c>
      <c r="O176" s="3" t="n">
        <v>2252805.07</v>
      </c>
      <c r="P176" s="3" t="n">
        <v>4915210.76</v>
      </c>
      <c r="Q176" s="3" t="n">
        <v>1003833063.16</v>
      </c>
    </row>
    <row r="177" customFormat="false" ht="15" hidden="false" customHeight="false" outlineLevel="0" collapsed="false">
      <c r="A177" s="2" t="s">
        <v>186</v>
      </c>
      <c r="B177" s="3" t="n">
        <v>143044235.47</v>
      </c>
      <c r="C177" s="3" t="n">
        <v>98180379.55</v>
      </c>
      <c r="D177" s="3" t="n">
        <v>71942237.21</v>
      </c>
      <c r="E177" s="3" t="n">
        <v>41152132.85</v>
      </c>
      <c r="F177" s="3" t="n">
        <v>23885138.47</v>
      </c>
      <c r="G177" s="3" t="n">
        <v>34884635.28</v>
      </c>
      <c r="H177" s="3" t="n">
        <v>827955.07</v>
      </c>
      <c r="I177" s="3" t="n">
        <v>16319116.2</v>
      </c>
      <c r="J177" s="3" t="n">
        <v>28197266.6</v>
      </c>
      <c r="K177" s="3" t="n">
        <v>2237813.87</v>
      </c>
      <c r="L177" s="3" t="n">
        <v>0</v>
      </c>
      <c r="M177" s="3" t="n">
        <v>8227011.98</v>
      </c>
      <c r="N177" s="3" t="n">
        <v>52789497.66</v>
      </c>
      <c r="O177" s="3" t="n">
        <v>9157861.83</v>
      </c>
      <c r="P177" s="3" t="n">
        <v>5039872.19</v>
      </c>
      <c r="Q177" s="3" t="n">
        <v>624213509.08</v>
      </c>
    </row>
    <row r="178" customFormat="false" ht="15" hidden="false" customHeight="false" outlineLevel="0" collapsed="false">
      <c r="A178" s="2" t="s">
        <v>187</v>
      </c>
      <c r="B178" s="3" t="n">
        <v>209135283.15</v>
      </c>
      <c r="C178" s="3" t="n">
        <v>126203990.05</v>
      </c>
      <c r="D178" s="3" t="n">
        <v>71210715.96</v>
      </c>
      <c r="E178" s="3" t="n">
        <v>48580914.15</v>
      </c>
      <c r="F178" s="3" t="n">
        <v>24841225.36</v>
      </c>
      <c r="G178" s="3" t="n">
        <v>31514670.88</v>
      </c>
      <c r="H178" s="3" t="n">
        <v>967905.54</v>
      </c>
      <c r="I178" s="3" t="n">
        <v>10859454.71</v>
      </c>
      <c r="J178" s="3" t="n">
        <v>23545975.18</v>
      </c>
      <c r="K178" s="3" t="n">
        <v>1842440.77</v>
      </c>
      <c r="L178" s="3" t="n">
        <v>0</v>
      </c>
      <c r="M178" s="3" t="n">
        <v>11826211.66</v>
      </c>
      <c r="N178" s="3" t="n">
        <v>94384075.78</v>
      </c>
      <c r="O178" s="3" t="n">
        <v>1599924.18</v>
      </c>
      <c r="P178" s="3" t="n">
        <v>4170665.12</v>
      </c>
      <c r="Q178" s="3" t="n">
        <v>704117605.69</v>
      </c>
    </row>
    <row r="179" customFormat="false" ht="15" hidden="false" customHeight="false" outlineLevel="0" collapsed="false">
      <c r="A179" s="2" t="s">
        <v>188</v>
      </c>
      <c r="B179" s="3" t="n">
        <v>203131201.48</v>
      </c>
      <c r="C179" s="3" t="n">
        <v>77141180.01</v>
      </c>
      <c r="D179" s="3" t="n">
        <v>57665917.76</v>
      </c>
      <c r="E179" s="3" t="n">
        <v>35024521.32</v>
      </c>
      <c r="F179" s="3" t="n">
        <v>21352024.08</v>
      </c>
      <c r="G179" s="3" t="n">
        <v>22208643.67</v>
      </c>
      <c r="H179" s="3" t="n">
        <v>17535257.13</v>
      </c>
      <c r="I179" s="3" t="n">
        <v>8739590.77</v>
      </c>
      <c r="J179" s="3" t="n">
        <v>22538196.75</v>
      </c>
      <c r="K179" s="3" t="n">
        <v>5145714.86</v>
      </c>
      <c r="L179" s="3" t="n">
        <v>0</v>
      </c>
      <c r="M179" s="3" t="n">
        <v>8973364.93</v>
      </c>
      <c r="N179" s="3" t="n">
        <v>32149613.84</v>
      </c>
      <c r="O179" s="3" t="n">
        <v>5793543.45</v>
      </c>
      <c r="P179" s="3" t="n">
        <v>4137693.93</v>
      </c>
      <c r="Q179" s="3" t="n">
        <v>578780546.48</v>
      </c>
    </row>
    <row r="180" customFormat="false" ht="15" hidden="false" customHeight="false" outlineLevel="0" collapsed="false">
      <c r="A180" s="2" t="s">
        <v>189</v>
      </c>
      <c r="B180" s="3" t="n">
        <v>60507469.73</v>
      </c>
      <c r="C180" s="3" t="n">
        <v>53812044.08</v>
      </c>
      <c r="D180" s="3" t="n">
        <v>31955950.75</v>
      </c>
      <c r="E180" s="3" t="n">
        <v>19509315.22</v>
      </c>
      <c r="F180" s="3" t="n">
        <v>15873159.97</v>
      </c>
      <c r="G180" s="3" t="n">
        <v>16087371.14</v>
      </c>
      <c r="H180" s="3" t="n">
        <v>18589433.4</v>
      </c>
      <c r="I180" s="3" t="n">
        <v>12949886.74</v>
      </c>
      <c r="J180" s="3" t="n">
        <v>19683783.87</v>
      </c>
      <c r="K180" s="3" t="n">
        <v>663241.13</v>
      </c>
      <c r="L180" s="3" t="n">
        <v>95.71</v>
      </c>
      <c r="M180" s="3" t="n">
        <v>5657543.88</v>
      </c>
      <c r="N180" s="3" t="n">
        <v>16489969.38</v>
      </c>
      <c r="O180" s="3" t="n">
        <v>475375.11</v>
      </c>
      <c r="P180" s="3" t="n">
        <v>3306771.15</v>
      </c>
      <c r="Q180" s="3" t="n">
        <v>299992951.37</v>
      </c>
    </row>
    <row r="181" customFormat="false" ht="15" hidden="false" customHeight="false" outlineLevel="0" collapsed="false">
      <c r="A181" s="2" t="s">
        <v>190</v>
      </c>
      <c r="B181" s="3" t="n">
        <v>101874964.99</v>
      </c>
      <c r="C181" s="3" t="n">
        <v>62101226.75</v>
      </c>
      <c r="D181" s="3" t="n">
        <v>47923615</v>
      </c>
      <c r="E181" s="3" t="n">
        <v>28225255.01</v>
      </c>
      <c r="F181" s="3" t="n">
        <v>23308842.6</v>
      </c>
      <c r="G181" s="3" t="n">
        <v>14693992.51</v>
      </c>
      <c r="H181" s="3" t="n">
        <v>50937199.61</v>
      </c>
      <c r="I181" s="3" t="n">
        <v>18392666.65</v>
      </c>
      <c r="J181" s="3" t="n">
        <v>13235427.77</v>
      </c>
      <c r="K181" s="3" t="n">
        <v>5667217.36</v>
      </c>
      <c r="L181" s="3" t="n">
        <v>0</v>
      </c>
      <c r="M181" s="3" t="n">
        <v>3432648.2</v>
      </c>
      <c r="N181" s="3" t="n">
        <v>33715562.33</v>
      </c>
      <c r="O181" s="3" t="n">
        <v>2149840.01</v>
      </c>
      <c r="P181" s="3" t="n">
        <v>2834040</v>
      </c>
      <c r="Q181" s="3" t="n">
        <v>446916286.71</v>
      </c>
    </row>
    <row r="182" customFormat="false" ht="15" hidden="false" customHeight="false" outlineLevel="0" collapsed="false">
      <c r="A182" s="2" t="s">
        <v>191</v>
      </c>
      <c r="B182" s="3" t="n">
        <v>124817226.26</v>
      </c>
      <c r="C182" s="3" t="n">
        <v>94203630.32</v>
      </c>
      <c r="D182" s="3" t="n">
        <v>80446580.12</v>
      </c>
      <c r="E182" s="3" t="n">
        <v>30335577.12</v>
      </c>
      <c r="F182" s="3" t="n">
        <v>42538508.56</v>
      </c>
      <c r="G182" s="3" t="n">
        <v>34702726.04</v>
      </c>
      <c r="H182" s="3" t="n">
        <v>55970240.06</v>
      </c>
      <c r="I182" s="3" t="n">
        <v>20188471.7</v>
      </c>
      <c r="J182" s="3" t="n">
        <v>15908753.8</v>
      </c>
      <c r="K182" s="3" t="n">
        <v>5369581.07</v>
      </c>
      <c r="L182" s="3" t="n">
        <v>253.83</v>
      </c>
      <c r="M182" s="3" t="n">
        <v>4726649.36</v>
      </c>
      <c r="N182" s="3" t="n">
        <v>65808169.24</v>
      </c>
      <c r="O182" s="3" t="n">
        <v>349543.98</v>
      </c>
      <c r="P182" s="3" t="n">
        <v>2656657.17</v>
      </c>
      <c r="Q182" s="3" t="n">
        <v>622311972.25</v>
      </c>
    </row>
  </sheetData>
  <autoFilter ref="A1:Q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4" t="s">
        <v>208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1" t="s">
        <v>209</v>
      </c>
      <c r="B2" s="1" t="s">
        <v>210</v>
      </c>
      <c r="C2" s="1" t="s">
        <v>211</v>
      </c>
      <c r="D2" s="1" t="s">
        <v>212</v>
      </c>
      <c r="E2" s="1" t="s">
        <v>213</v>
      </c>
      <c r="F2" s="1" t="s">
        <v>214</v>
      </c>
      <c r="G2" s="1" t="s">
        <v>215</v>
      </c>
      <c r="H2" s="1" t="s">
        <v>216</v>
      </c>
    </row>
    <row r="3" customFormat="false" ht="15" hidden="false" customHeight="false" outlineLevel="0" collapsed="false">
      <c r="A3" s="2" t="s">
        <v>1</v>
      </c>
      <c r="B3" s="3" t="n">
        <v>3424448305</v>
      </c>
      <c r="C3" s="3" t="n">
        <v>2794822079</v>
      </c>
      <c r="D3" s="3" t="n">
        <v>2143386044</v>
      </c>
      <c r="E3" s="3" t="n">
        <v>2046028063</v>
      </c>
      <c r="F3" s="3" t="n">
        <v>2098310905</v>
      </c>
      <c r="G3" s="3" t="n">
        <v>2600119800</v>
      </c>
      <c r="H3" s="5" t="n">
        <f aca="false">SUM(B3:G3)</f>
        <v>15107115196</v>
      </c>
    </row>
    <row r="4" customFormat="false" ht="15" hidden="false" customHeight="false" outlineLevel="0" collapsed="false">
      <c r="A4" s="2" t="s">
        <v>2</v>
      </c>
      <c r="B4" s="3" t="n">
        <v>1772049958</v>
      </c>
      <c r="C4" s="3" t="n">
        <v>645151351</v>
      </c>
      <c r="D4" s="3" t="n">
        <v>889162402</v>
      </c>
      <c r="E4" s="3" t="n">
        <v>952135305</v>
      </c>
      <c r="F4" s="3" t="n">
        <v>1429404881</v>
      </c>
      <c r="G4" s="3" t="n">
        <v>2145089925</v>
      </c>
      <c r="H4" s="5" t="n">
        <f aca="false">SUM(B4:G4)</f>
        <v>7832993822</v>
      </c>
    </row>
    <row r="5" customFormat="false" ht="15" hidden="false" customHeight="false" outlineLevel="0" collapsed="false">
      <c r="A5" s="2" t="s">
        <v>3</v>
      </c>
      <c r="B5" s="3" t="n">
        <v>622054999</v>
      </c>
      <c r="C5" s="3" t="n">
        <v>369383857</v>
      </c>
      <c r="D5" s="3" t="n">
        <v>346262109</v>
      </c>
      <c r="E5" s="3" t="n">
        <v>175866843</v>
      </c>
      <c r="F5" s="3" t="n">
        <v>442672384</v>
      </c>
      <c r="G5" s="3" t="n">
        <v>408604104</v>
      </c>
      <c r="H5" s="5" t="n">
        <f aca="false">SUM(B5:G5)</f>
        <v>2364844296</v>
      </c>
    </row>
    <row r="6" customFormat="false" ht="15" hidden="false" customHeight="false" outlineLevel="0" collapsed="false">
      <c r="A6" s="2" t="s">
        <v>4</v>
      </c>
      <c r="B6" s="3" t="n">
        <v>603703105</v>
      </c>
      <c r="C6" s="3" t="n">
        <v>299810686</v>
      </c>
      <c r="D6" s="3" t="n">
        <v>176031681</v>
      </c>
      <c r="E6" s="3" t="n">
        <v>183821449</v>
      </c>
      <c r="F6" s="3" t="n">
        <v>354635355</v>
      </c>
      <c r="G6" s="3" t="n">
        <v>272992280</v>
      </c>
      <c r="H6" s="5" t="n">
        <f aca="false">SUM(B6:G6)</f>
        <v>1890994556</v>
      </c>
    </row>
    <row r="7" customFormat="false" ht="15" hidden="false" customHeight="false" outlineLevel="0" collapsed="false">
      <c r="A7" s="2" t="s">
        <v>5</v>
      </c>
      <c r="B7" s="3" t="n">
        <v>162995521</v>
      </c>
      <c r="C7" s="3" t="n">
        <v>205736113</v>
      </c>
      <c r="D7" s="3" t="n">
        <v>211036429</v>
      </c>
      <c r="E7" s="3" t="n">
        <v>142622366</v>
      </c>
      <c r="F7" s="3" t="n">
        <v>142924662</v>
      </c>
      <c r="G7" s="3" t="n">
        <v>168121064</v>
      </c>
      <c r="H7" s="5" t="n">
        <f aca="false">SUM(B7:G7)</f>
        <v>1033436155</v>
      </c>
    </row>
    <row r="9" customFormat="false" ht="15" hidden="false" customHeight="false" outlineLevel="0" collapsed="false">
      <c r="A9" s="4" t="s">
        <v>217</v>
      </c>
      <c r="B9" s="4"/>
      <c r="C9" s="4"/>
      <c r="D9" s="4"/>
      <c r="E9" s="4"/>
      <c r="F9" s="4"/>
      <c r="G9" s="4"/>
    </row>
    <row r="10" customFormat="false" ht="26.85" hidden="false" customHeight="false" outlineLevel="0" collapsed="false">
      <c r="A10" s="1" t="s">
        <v>218</v>
      </c>
      <c r="B10" s="1" t="s">
        <v>219</v>
      </c>
      <c r="C10" s="1" t="s">
        <v>220</v>
      </c>
    </row>
    <row r="11" customFormat="false" ht="15" hidden="false" customHeight="false" outlineLevel="0" collapsed="false">
      <c r="A11" s="2" t="s">
        <v>210</v>
      </c>
      <c r="B11" s="3" t="n">
        <v>23690752464</v>
      </c>
      <c r="C11" s="5"/>
    </row>
    <row r="12" customFormat="false" ht="15" hidden="false" customHeight="false" outlineLevel="0" collapsed="false">
      <c r="A12" s="2" t="s">
        <v>211</v>
      </c>
      <c r="B12" s="3" t="n">
        <v>19112254826</v>
      </c>
      <c r="C12" s="6" t="n">
        <f aca="false">IF(B11=0,0,(B12-B11)/B11)</f>
        <v>-0.193260963110285</v>
      </c>
    </row>
    <row r="13" customFormat="false" ht="15" hidden="false" customHeight="false" outlineLevel="0" collapsed="false">
      <c r="A13" s="2" t="s">
        <v>212</v>
      </c>
      <c r="B13" s="3" t="n">
        <v>18408201651</v>
      </c>
      <c r="C13" s="6" t="n">
        <f aca="false">IF(B12=0,0,(B13-B12)/B12)</f>
        <v>-0.0368377871376128</v>
      </c>
    </row>
    <row r="14" customFormat="false" ht="15" hidden="false" customHeight="false" outlineLevel="0" collapsed="false">
      <c r="A14" s="2" t="s">
        <v>213</v>
      </c>
      <c r="B14" s="3" t="n">
        <v>20050561415</v>
      </c>
      <c r="C14" s="6" t="n">
        <f aca="false">IF(B13=0,0,(B14-B13)/B13)</f>
        <v>0.0892189142175537</v>
      </c>
    </row>
    <row r="15" customFormat="false" ht="15" hidden="false" customHeight="false" outlineLevel="0" collapsed="false">
      <c r="A15" s="2" t="s">
        <v>214</v>
      </c>
      <c r="B15" s="3" t="n">
        <v>25377916856</v>
      </c>
      <c r="C15" s="6" t="n">
        <f aca="false">IF(B14=0,0,(B15-B14)/B14)</f>
        <v>0.265696073577998</v>
      </c>
    </row>
    <row r="16" customFormat="false" ht="15" hidden="false" customHeight="false" outlineLevel="0" collapsed="false">
      <c r="A16" s="2" t="s">
        <v>215</v>
      </c>
      <c r="B16" s="3" t="n">
        <v>21664698217</v>
      </c>
      <c r="C16" s="6" t="n">
        <f aca="false">IF(B15=0,0,(B16-B15)/B15)</f>
        <v>-0.146316920339429</v>
      </c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"/>
  </cols>
  <sheetData>
    <row r="1" customFormat="false" ht="26.85" hidden="false" customHeight="false" outlineLevel="0" collapsed="false">
      <c r="A1" s="1" t="s">
        <v>218</v>
      </c>
      <c r="B1" s="1" t="s">
        <v>221</v>
      </c>
      <c r="C1" s="1" t="s">
        <v>222</v>
      </c>
      <c r="D1" s="1" t="s">
        <v>223</v>
      </c>
    </row>
    <row r="2" customFormat="false" ht="15" hidden="false" customHeight="false" outlineLevel="0" collapsed="false">
      <c r="A2" s="2" t="s">
        <v>210</v>
      </c>
      <c r="B2" s="3" t="n">
        <v>2805</v>
      </c>
      <c r="C2" s="7" t="n">
        <v>77.6</v>
      </c>
      <c r="D2" s="5" t="s">
        <v>224</v>
      </c>
    </row>
    <row r="3" customFormat="false" ht="15" hidden="false" customHeight="false" outlineLevel="0" collapsed="false">
      <c r="A3" s="2" t="s">
        <v>211</v>
      </c>
      <c r="B3" s="3" t="n">
        <v>3485</v>
      </c>
      <c r="C3" s="7" t="n">
        <v>77</v>
      </c>
      <c r="D3" s="5" t="s">
        <v>224</v>
      </c>
    </row>
    <row r="4" customFormat="false" ht="15" hidden="false" customHeight="false" outlineLevel="0" collapsed="false">
      <c r="A4" s="2" t="s">
        <v>212</v>
      </c>
      <c r="B4" s="3" t="n">
        <v>2962</v>
      </c>
      <c r="C4" s="7" t="n">
        <v>77.6</v>
      </c>
      <c r="D4" s="5" t="s">
        <v>224</v>
      </c>
    </row>
    <row r="5" customFormat="false" ht="15" hidden="false" customHeight="false" outlineLevel="0" collapsed="false">
      <c r="A5" s="2" t="s">
        <v>213</v>
      </c>
      <c r="B5" s="3" t="n">
        <v>3189</v>
      </c>
      <c r="C5" s="7" t="n">
        <v>78.7</v>
      </c>
      <c r="D5" s="5" t="s">
        <v>224</v>
      </c>
    </row>
    <row r="6" customFormat="false" ht="15" hidden="false" customHeight="false" outlineLevel="0" collapsed="false">
      <c r="A6" s="2" t="s">
        <v>214</v>
      </c>
      <c r="B6" s="3" t="n">
        <v>2524</v>
      </c>
      <c r="C6" s="7" t="n">
        <v>76.2</v>
      </c>
      <c r="D6" s="5" t="s">
        <v>224</v>
      </c>
    </row>
    <row r="7" customFormat="false" ht="15" hidden="false" customHeight="false" outlineLevel="0" collapsed="false">
      <c r="A7" s="2" t="s">
        <v>215</v>
      </c>
      <c r="B7" s="3" t="n">
        <v>2990</v>
      </c>
      <c r="C7" s="7" t="n">
        <v>82.5</v>
      </c>
      <c r="D7" s="5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4"/>
  </cols>
  <sheetData>
    <row r="1" customFormat="false" ht="26.85" hidden="false" customHeight="false" outlineLevel="0" collapsed="false">
      <c r="A1" s="1" t="s">
        <v>209</v>
      </c>
      <c r="B1" s="1" t="s">
        <v>225</v>
      </c>
      <c r="C1" s="1" t="s">
        <v>226</v>
      </c>
      <c r="D1" s="1" t="s">
        <v>227</v>
      </c>
      <c r="E1" s="1" t="s">
        <v>228</v>
      </c>
    </row>
    <row r="2" customFormat="false" ht="15" hidden="false" customHeight="false" outlineLevel="0" collapsed="false">
      <c r="A2" s="2" t="s">
        <v>2</v>
      </c>
      <c r="B2" s="3" t="n">
        <v>3306363711</v>
      </c>
      <c r="C2" s="3" t="n">
        <v>4526630111</v>
      </c>
      <c r="D2" s="6" t="n">
        <f aca="false">IF(B2=0,0,(C2-B2)/B2)</f>
        <v>0.369065991118967</v>
      </c>
      <c r="E2" s="5" t="s">
        <v>229</v>
      </c>
    </row>
    <row r="3" customFormat="false" ht="15" hidden="false" customHeight="false" outlineLevel="0" collapsed="false">
      <c r="A3" s="2" t="s">
        <v>6</v>
      </c>
      <c r="B3" s="3" t="n">
        <v>314525537</v>
      </c>
      <c r="C3" s="3" t="n">
        <v>421796622</v>
      </c>
      <c r="D3" s="6" t="n">
        <f aca="false">IF(B3=0,0,(C3-B3)/B3)</f>
        <v>0.341056837620152</v>
      </c>
      <c r="E3" s="5" t="s">
        <v>229</v>
      </c>
    </row>
    <row r="4" customFormat="false" ht="15" hidden="false" customHeight="false" outlineLevel="0" collapsed="false">
      <c r="A4" s="2" t="s">
        <v>10</v>
      </c>
      <c r="B4" s="3" t="n">
        <v>120080880</v>
      </c>
      <c r="C4" s="3" t="n">
        <v>129999917</v>
      </c>
      <c r="D4" s="6" t="n">
        <f aca="false">IF(B4=0,0,(C4-B4)/B4)</f>
        <v>0.0826029672667289</v>
      </c>
      <c r="E4" s="5" t="s">
        <v>229</v>
      </c>
    </row>
    <row r="5" customFormat="false" ht="15" hidden="false" customHeight="false" outlineLevel="0" collapsed="false">
      <c r="A5" s="2" t="s">
        <v>7</v>
      </c>
      <c r="B5" s="3" t="n">
        <v>372786623</v>
      </c>
      <c r="C5" s="3" t="n">
        <v>342670085</v>
      </c>
      <c r="D5" s="6" t="n">
        <f aca="false">IF(B5=0,0,(C5-B5)/B5)</f>
        <v>-0.0807876037976824</v>
      </c>
      <c r="E5" s="5" t="s">
        <v>230</v>
      </c>
    </row>
    <row r="6" customFormat="false" ht="15" hidden="false" customHeight="false" outlineLevel="0" collapsed="false">
      <c r="A6" s="2" t="s">
        <v>231</v>
      </c>
      <c r="B6" s="3" t="n">
        <v>104899449</v>
      </c>
      <c r="C6" s="3" t="n">
        <v>90437848</v>
      </c>
      <c r="D6" s="6" t="n">
        <f aca="false">IF(B6=0,0,(C6-B6)/B6)</f>
        <v>-0.137861553495863</v>
      </c>
      <c r="E6" s="5" t="s">
        <v>230</v>
      </c>
    </row>
    <row r="7" customFormat="false" ht="15" hidden="false" customHeight="false" outlineLevel="0" collapsed="false">
      <c r="A7" s="2" t="s">
        <v>1</v>
      </c>
      <c r="B7" s="3" t="n">
        <v>8362656427</v>
      </c>
      <c r="C7" s="3" t="n">
        <v>6744458768</v>
      </c>
      <c r="D7" s="6" t="n">
        <f aca="false">IF(B7=0,0,(C7-B7)/B7)</f>
        <v>-0.193502826897853</v>
      </c>
      <c r="E7" s="5" t="s">
        <v>230</v>
      </c>
    </row>
    <row r="8" customFormat="false" ht="15" hidden="false" customHeight="false" outlineLevel="0" collapsed="false">
      <c r="A8" s="2" t="s">
        <v>5</v>
      </c>
      <c r="B8" s="3" t="n">
        <v>579768063</v>
      </c>
      <c r="C8" s="3" t="n">
        <v>453668091</v>
      </c>
      <c r="D8" s="6" t="n">
        <f aca="false">IF(B8=0,0,(C8-B8)/B8)</f>
        <v>-0.217500721491104</v>
      </c>
      <c r="E8" s="5" t="s">
        <v>230</v>
      </c>
    </row>
    <row r="9" customFormat="false" ht="15" hidden="false" customHeight="false" outlineLevel="0" collapsed="false">
      <c r="A9" s="2" t="s">
        <v>3</v>
      </c>
      <c r="B9" s="3" t="n">
        <v>1337700964</v>
      </c>
      <c r="C9" s="3" t="n">
        <v>1027143331</v>
      </c>
      <c r="D9" s="6" t="n">
        <f aca="false">IF(B9=0,0,(C9-B9)/B9)</f>
        <v>-0.23215774030047</v>
      </c>
      <c r="E9" s="5" t="s">
        <v>230</v>
      </c>
    </row>
    <row r="10" customFormat="false" ht="15" hidden="false" customHeight="false" outlineLevel="0" collapsed="false">
      <c r="A10" s="2" t="s">
        <v>4</v>
      </c>
      <c r="B10" s="3" t="n">
        <v>1079545472</v>
      </c>
      <c r="C10" s="3" t="n">
        <v>811449084</v>
      </c>
      <c r="D10" s="6" t="n">
        <f aca="false">IF(B10=0,0,(C10-B10)/B10)</f>
        <v>-0.248341913289967</v>
      </c>
      <c r="E10" s="5" t="s">
        <v>230</v>
      </c>
    </row>
    <row r="11" customFormat="false" ht="15" hidden="false" customHeight="false" outlineLevel="0" collapsed="false">
      <c r="A11" s="2" t="s">
        <v>232</v>
      </c>
      <c r="B11" s="3" t="n">
        <v>119574116</v>
      </c>
      <c r="C11" s="3" t="n">
        <v>80847374</v>
      </c>
      <c r="D11" s="6" t="n">
        <f aca="false">IF(B11=0,0,(C11-B11)/B11)</f>
        <v>-0.323872283529991</v>
      </c>
      <c r="E11" s="5" t="s">
        <v>230</v>
      </c>
    </row>
    <row r="12" customFormat="false" ht="15" hidden="false" customHeight="false" outlineLevel="0" collapsed="false">
      <c r="A12" s="2" t="s">
        <v>8</v>
      </c>
      <c r="B12" s="3" t="n">
        <v>296518108</v>
      </c>
      <c r="C12" s="3" t="n">
        <v>175376149</v>
      </c>
      <c r="D12" s="6" t="n">
        <f aca="false">IF(B12=0,0,(C12-B12)/B12)</f>
        <v>-0.408548266468772</v>
      </c>
      <c r="E12" s="5" t="s">
        <v>230</v>
      </c>
    </row>
    <row r="13" customFormat="false" ht="15" hidden="false" customHeight="false" outlineLevel="0" collapsed="false">
      <c r="A13" s="2" t="s">
        <v>233</v>
      </c>
      <c r="B13" s="3" t="n">
        <v>157596395</v>
      </c>
      <c r="C13" s="3" t="n">
        <v>59929251</v>
      </c>
      <c r="D13" s="6" t="n">
        <f aca="false">IF(B13=0,0,(C13-B13)/B13)</f>
        <v>-0.619729556631039</v>
      </c>
      <c r="E13" s="5" t="s">
        <v>230</v>
      </c>
    </row>
    <row r="14" customFormat="false" ht="15" hidden="false" customHeight="false" outlineLevel="0" collapsed="false">
      <c r="A14" s="2" t="s">
        <v>9</v>
      </c>
      <c r="B14" s="3" t="n">
        <v>213474791</v>
      </c>
      <c r="C14" s="3" t="n">
        <v>77413400</v>
      </c>
      <c r="D14" s="6" t="n">
        <f aca="false">IF(B14=0,0,(C14-B14)/B14)</f>
        <v>-0.637365144439935</v>
      </c>
      <c r="E14" s="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26.85" hidden="false" customHeight="false" outlineLevel="0" collapsed="false">
      <c r="A1" s="1" t="s">
        <v>234</v>
      </c>
      <c r="B1" s="1" t="s">
        <v>235</v>
      </c>
      <c r="C1" s="1" t="s">
        <v>236</v>
      </c>
    </row>
    <row r="2" customFormat="false" ht="15" hidden="false" customHeight="false" outlineLevel="0" collapsed="false">
      <c r="A2" s="2" t="s">
        <v>237</v>
      </c>
      <c r="B2" s="3" t="n">
        <v>55777257262</v>
      </c>
      <c r="C2" s="6" t="n">
        <f aca="false">B2/B$4</f>
        <v>0.434726038985359</v>
      </c>
    </row>
    <row r="3" customFormat="false" ht="15" hidden="false" customHeight="false" outlineLevel="0" collapsed="false">
      <c r="A3" s="2" t="s">
        <v>238</v>
      </c>
      <c r="B3" s="3" t="n">
        <v>72527128167</v>
      </c>
      <c r="C3" s="6" t="n">
        <f aca="false">B3/B$4</f>
        <v>0.565273961014641</v>
      </c>
    </row>
    <row r="4" customFormat="false" ht="15" hidden="false" customHeight="false" outlineLevel="0" collapsed="false">
      <c r="A4" s="2" t="s">
        <v>207</v>
      </c>
      <c r="B4" s="5" t="n">
        <f aca="false">SUM(B2:B3)</f>
        <v>128304385429</v>
      </c>
      <c r="C4" s="3" t="n">
        <v>1</v>
      </c>
    </row>
    <row r="6" customFormat="false" ht="15" hidden="false" customHeight="false" outlineLevel="0" collapsed="false">
      <c r="A6" s="4" t="s">
        <v>239</v>
      </c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1" t="s">
        <v>240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</row>
    <row r="8" customFormat="false" ht="15" hidden="false" customHeight="false" outlineLevel="0" collapsed="false">
      <c r="A8" s="2" t="s">
        <v>192</v>
      </c>
      <c r="B8" s="3" t="n">
        <v>0</v>
      </c>
      <c r="C8" s="3" t="n">
        <v>3128758086</v>
      </c>
      <c r="D8" s="3" t="n">
        <v>5114950407</v>
      </c>
      <c r="E8" s="3" t="n">
        <v>5556944416</v>
      </c>
      <c r="F8" s="3" t="n">
        <v>7310411525</v>
      </c>
      <c r="G8" s="3" t="n">
        <v>5262211949</v>
      </c>
      <c r="H8" s="5" t="n">
        <f aca="false">SUM(B8:G8)</f>
        <v>26373276383</v>
      </c>
    </row>
    <row r="9" customFormat="false" ht="15" hidden="false" customHeight="false" outlineLevel="0" collapsed="false">
      <c r="A9" s="2" t="s">
        <v>193</v>
      </c>
      <c r="B9" s="3" t="n">
        <v>4474708501</v>
      </c>
      <c r="C9" s="3" t="n">
        <v>2904512275</v>
      </c>
      <c r="D9" s="3" t="n">
        <v>2366810921</v>
      </c>
      <c r="E9" s="3" t="n">
        <v>3101435019</v>
      </c>
      <c r="F9" s="3" t="n">
        <v>3466759375</v>
      </c>
      <c r="G9" s="3" t="n">
        <v>2977004787</v>
      </c>
      <c r="H9" s="5" t="n">
        <f aca="false">SUM(B9:G9)</f>
        <v>19291230878</v>
      </c>
    </row>
    <row r="10" customFormat="false" ht="15" hidden="false" customHeight="false" outlineLevel="0" collapsed="false">
      <c r="A10" s="2" t="s">
        <v>196</v>
      </c>
      <c r="B10" s="3" t="n">
        <v>2815439947</v>
      </c>
      <c r="C10" s="3" t="n">
        <v>1524580221</v>
      </c>
      <c r="D10" s="3" t="n">
        <v>1053967700</v>
      </c>
      <c r="E10" s="3" t="n">
        <v>1109437909</v>
      </c>
      <c r="F10" s="3" t="n">
        <v>1109647826</v>
      </c>
      <c r="G10" s="3" t="n">
        <v>903683748</v>
      </c>
      <c r="H10" s="5" t="n">
        <f aca="false">SUM(B10:G10)</f>
        <v>8516757351</v>
      </c>
    </row>
    <row r="11" customFormat="false" ht="15" hidden="false" customHeight="false" outlineLevel="0" collapsed="false">
      <c r="A11" s="2" t="s">
        <v>241</v>
      </c>
      <c r="B11" s="3" t="n">
        <v>0</v>
      </c>
      <c r="C11" s="3" t="n">
        <v>0</v>
      </c>
      <c r="D11" s="3" t="n">
        <v>104198553</v>
      </c>
      <c r="E11" s="3" t="n">
        <v>220656524</v>
      </c>
      <c r="F11" s="3" t="n">
        <v>407603955</v>
      </c>
      <c r="G11" s="3" t="n">
        <v>863533618</v>
      </c>
      <c r="H11" s="5" t="n">
        <f aca="false">SUM(B11:G11)</f>
        <v>1595992650</v>
      </c>
    </row>
  </sheetData>
  <mergeCells count="1">
    <mergeCell ref="A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4" t="s">
        <v>242</v>
      </c>
      <c r="B1" s="4"/>
      <c r="C1" s="4"/>
      <c r="D1" s="4"/>
      <c r="E1" s="4"/>
      <c r="F1" s="4"/>
    </row>
    <row r="2" customFormat="false" ht="26.85" hidden="false" customHeight="false" outlineLevel="0" collapsed="false">
      <c r="A2" s="1" t="s">
        <v>243</v>
      </c>
      <c r="B2" s="1" t="s">
        <v>244</v>
      </c>
      <c r="C2" s="1" t="s">
        <v>245</v>
      </c>
      <c r="D2" s="1" t="s">
        <v>246</v>
      </c>
      <c r="E2" s="1" t="s">
        <v>247</v>
      </c>
      <c r="F2" s="1" t="s">
        <v>248</v>
      </c>
    </row>
    <row r="3" customFormat="false" ht="15" hidden="false" customHeight="false" outlineLevel="0" collapsed="false">
      <c r="A3" s="2" t="n">
        <v>1</v>
      </c>
      <c r="B3" s="8" t="n">
        <f aca="false">A3/10000</f>
        <v>0.0001</v>
      </c>
      <c r="C3" s="5" t="n">
        <f aca="false">128304385428*B3</f>
        <v>12830438.5428</v>
      </c>
      <c r="D3" s="5" t="n">
        <f aca="false">55777257262*B3</f>
        <v>5577725.7262</v>
      </c>
      <c r="E3" s="5" t="n">
        <f aca="false">72527128167*B3</f>
        <v>7252712.8167</v>
      </c>
      <c r="F3" s="5" t="n">
        <f aca="false">C3*2</f>
        <v>25660877.0856</v>
      </c>
    </row>
    <row r="4" customFormat="false" ht="15" hidden="false" customHeight="false" outlineLevel="0" collapsed="false">
      <c r="A4" s="2" t="n">
        <v>2</v>
      </c>
      <c r="B4" s="8" t="n">
        <f aca="false">A4/10000</f>
        <v>0.0002</v>
      </c>
      <c r="C4" s="5" t="n">
        <f aca="false">128304385428*B4</f>
        <v>25660877.0856</v>
      </c>
      <c r="D4" s="5" t="n">
        <f aca="false">55777257262*B4</f>
        <v>11155451.4524</v>
      </c>
      <c r="E4" s="5" t="n">
        <f aca="false">72527128167*B4</f>
        <v>14505425.6334</v>
      </c>
      <c r="F4" s="5" t="n">
        <f aca="false">C4*2</f>
        <v>51321754.1712</v>
      </c>
    </row>
    <row r="5" customFormat="false" ht="15" hidden="false" customHeight="false" outlineLevel="0" collapsed="false">
      <c r="A5" s="2" t="n">
        <v>3</v>
      </c>
      <c r="B5" s="8" t="n">
        <f aca="false">A5/10000</f>
        <v>0.0003</v>
      </c>
      <c r="C5" s="5" t="n">
        <f aca="false">128304385428*B5</f>
        <v>38491315.6284</v>
      </c>
      <c r="D5" s="5" t="n">
        <f aca="false">55777257262*B5</f>
        <v>16733177.1786</v>
      </c>
      <c r="E5" s="5" t="n">
        <f aca="false">72527128167*B5</f>
        <v>21758138.4501</v>
      </c>
      <c r="F5" s="5" t="n">
        <f aca="false">C5*2</f>
        <v>76982631.2568</v>
      </c>
    </row>
    <row r="6" customFormat="false" ht="15" hidden="false" customHeight="false" outlineLevel="0" collapsed="false">
      <c r="A6" s="2" t="n">
        <v>5</v>
      </c>
      <c r="B6" s="8" t="n">
        <f aca="false">A6/10000</f>
        <v>0.0005</v>
      </c>
      <c r="C6" s="5" t="n">
        <f aca="false">128304385428*B6</f>
        <v>64152192.714</v>
      </c>
      <c r="D6" s="5" t="n">
        <f aca="false">55777257262*B6</f>
        <v>27888628.631</v>
      </c>
      <c r="E6" s="5" t="n">
        <f aca="false">72527128167*B6</f>
        <v>36263564.0835</v>
      </c>
      <c r="F6" s="5" t="n">
        <f aca="false">C6*2</f>
        <v>128304385.428</v>
      </c>
    </row>
    <row r="7" customFormat="false" ht="15" hidden="false" customHeight="false" outlineLevel="0" collapsed="false">
      <c r="A7" s="2" t="n">
        <v>10</v>
      </c>
      <c r="B7" s="8" t="n">
        <f aca="false">A7/10000</f>
        <v>0.001</v>
      </c>
      <c r="C7" s="5" t="n">
        <f aca="false">128304385428*B7</f>
        <v>128304385.428</v>
      </c>
      <c r="D7" s="5" t="n">
        <f aca="false">55777257262*B7</f>
        <v>55777257.262</v>
      </c>
      <c r="E7" s="5" t="n">
        <f aca="false">72527128167*B7</f>
        <v>72527128.167</v>
      </c>
      <c r="F7" s="5" t="n">
        <f aca="false">C7*2</f>
        <v>256608770.856</v>
      </c>
    </row>
    <row r="9" customFormat="false" ht="15" hidden="false" customHeight="false" outlineLevel="0" collapsed="false">
      <c r="A9" s="4" t="s">
        <v>249</v>
      </c>
      <c r="B9" s="4"/>
      <c r="C9" s="4"/>
      <c r="D9" s="4"/>
    </row>
    <row r="10" customFormat="false" ht="26.85" hidden="false" customHeight="false" outlineLevel="0" collapsed="false">
      <c r="A10" s="1" t="s">
        <v>218</v>
      </c>
      <c r="B10" s="1" t="s">
        <v>219</v>
      </c>
      <c r="C10" s="1" t="s">
        <v>250</v>
      </c>
      <c r="D10" s="1" t="s">
        <v>251</v>
      </c>
    </row>
    <row r="11" customFormat="false" ht="15" hidden="false" customHeight="false" outlineLevel="0" collapsed="false">
      <c r="A11" s="2" t="s">
        <v>210</v>
      </c>
      <c r="B11" s="3" t="n">
        <v>23690752464</v>
      </c>
      <c r="C11" s="5" t="n">
        <f aca="false">B11*0.0003</f>
        <v>7107225.7392</v>
      </c>
      <c r="D11" s="5" t="n">
        <f aca="false">C11*12</f>
        <v>85286708.8704</v>
      </c>
    </row>
    <row r="12" customFormat="false" ht="15" hidden="false" customHeight="false" outlineLevel="0" collapsed="false">
      <c r="A12" s="2" t="s">
        <v>211</v>
      </c>
      <c r="B12" s="3" t="n">
        <v>19112254826</v>
      </c>
      <c r="C12" s="5" t="n">
        <f aca="false">B12*0.0003</f>
        <v>5733676.4478</v>
      </c>
      <c r="D12" s="5" t="n">
        <f aca="false">C12*12</f>
        <v>68804117.3736</v>
      </c>
    </row>
    <row r="13" customFormat="false" ht="15" hidden="false" customHeight="false" outlineLevel="0" collapsed="false">
      <c r="A13" s="2" t="s">
        <v>212</v>
      </c>
      <c r="B13" s="3" t="n">
        <v>18408201651</v>
      </c>
      <c r="C13" s="5" t="n">
        <f aca="false">B13*0.0003</f>
        <v>5522460.4953</v>
      </c>
      <c r="D13" s="5" t="n">
        <f aca="false">C13*12</f>
        <v>66269525.9436</v>
      </c>
    </row>
    <row r="14" customFormat="false" ht="15" hidden="false" customHeight="false" outlineLevel="0" collapsed="false">
      <c r="A14" s="2" t="s">
        <v>213</v>
      </c>
      <c r="B14" s="3" t="n">
        <v>20050561415</v>
      </c>
      <c r="C14" s="5" t="n">
        <f aca="false">B14*0.0003</f>
        <v>6015168.4245</v>
      </c>
      <c r="D14" s="5" t="n">
        <f aca="false">C14*12</f>
        <v>72182021.094</v>
      </c>
    </row>
    <row r="15" customFormat="false" ht="15" hidden="false" customHeight="false" outlineLevel="0" collapsed="false">
      <c r="A15" s="2" t="s">
        <v>214</v>
      </c>
      <c r="B15" s="3" t="n">
        <v>25377916856</v>
      </c>
      <c r="C15" s="5" t="n">
        <f aca="false">B15*0.0003</f>
        <v>7613375.0568</v>
      </c>
      <c r="D15" s="5" t="n">
        <f aca="false">C15*12</f>
        <v>91360500.6816</v>
      </c>
    </row>
    <row r="16" customFormat="false" ht="15" hidden="false" customHeight="false" outlineLevel="0" collapsed="false">
      <c r="A16" s="2" t="s">
        <v>215</v>
      </c>
      <c r="B16" s="3" t="n">
        <v>21664698217</v>
      </c>
      <c r="C16" s="5" t="n">
        <f aca="false">B16*0.0003</f>
        <v>6499409.4651</v>
      </c>
      <c r="D16" s="5" t="n">
        <f aca="false">C16*12</f>
        <v>77992913.5812</v>
      </c>
    </row>
  </sheetData>
  <mergeCells count="2">
    <mergeCell ref="A1:F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1" t="s">
        <v>209</v>
      </c>
      <c r="B1" s="1" t="s">
        <v>252</v>
      </c>
      <c r="C1" s="1" t="s">
        <v>253</v>
      </c>
    </row>
    <row r="2" customFormat="false" ht="15" hidden="false" customHeight="false" outlineLevel="0" collapsed="false">
      <c r="A2" s="2" t="s">
        <v>3</v>
      </c>
      <c r="B2" s="3" t="n">
        <v>1356494964</v>
      </c>
      <c r="C2" s="5" t="s">
        <v>254</v>
      </c>
    </row>
    <row r="3" customFormat="false" ht="15" hidden="false" customHeight="false" outlineLevel="0" collapsed="false">
      <c r="A3" s="2" t="s">
        <v>233</v>
      </c>
      <c r="B3" s="3" t="n">
        <v>210978392</v>
      </c>
      <c r="C3" s="5" t="s">
        <v>254</v>
      </c>
    </row>
    <row r="4" customFormat="false" ht="15" hidden="false" customHeight="false" outlineLevel="0" collapsed="false">
      <c r="A4" s="2" t="s">
        <v>6</v>
      </c>
      <c r="B4" s="3" t="n">
        <v>151818007</v>
      </c>
      <c r="C4" s="5" t="s">
        <v>254</v>
      </c>
    </row>
    <row r="5" customFormat="false" ht="15" hidden="false" customHeight="false" outlineLevel="0" collapsed="false">
      <c r="A5" s="2" t="s">
        <v>9</v>
      </c>
      <c r="B5" s="3" t="n">
        <v>129073568</v>
      </c>
      <c r="C5" s="5" t="s">
        <v>254</v>
      </c>
    </row>
    <row r="6" customFormat="false" ht="15" hidden="false" customHeight="false" outlineLevel="0" collapsed="false">
      <c r="A6" s="2" t="s">
        <v>8</v>
      </c>
      <c r="B6" s="3" t="n">
        <v>108149631</v>
      </c>
      <c r="C6" s="5" t="s">
        <v>254</v>
      </c>
    </row>
    <row r="7" customFormat="false" ht="15" hidden="false" customHeight="false" outlineLevel="0" collapsed="false">
      <c r="A7" s="2" t="s">
        <v>232</v>
      </c>
      <c r="B7" s="3" t="n">
        <v>70048335</v>
      </c>
      <c r="C7" s="5" t="s">
        <v>254</v>
      </c>
    </row>
    <row r="8" customFormat="false" ht="15" hidden="false" customHeight="false" outlineLevel="0" collapsed="false">
      <c r="A8" s="2" t="s">
        <v>255</v>
      </c>
      <c r="B8" s="3" t="n">
        <v>40271289</v>
      </c>
      <c r="C8" s="5" t="s">
        <v>254</v>
      </c>
    </row>
    <row r="9" customFormat="false" ht="15" hidden="false" customHeight="false" outlineLevel="0" collapsed="false">
      <c r="A9" s="2" t="s">
        <v>256</v>
      </c>
      <c r="B9" s="3" t="n">
        <v>39828104</v>
      </c>
      <c r="C9" s="5" t="s">
        <v>254</v>
      </c>
    </row>
    <row r="10" customFormat="false" ht="15" hidden="false" customHeight="false" outlineLevel="0" collapsed="false">
      <c r="A10" s="2" t="s">
        <v>257</v>
      </c>
      <c r="B10" s="3" t="n">
        <v>25812804</v>
      </c>
      <c r="C10" s="5" t="s">
        <v>254</v>
      </c>
    </row>
    <row r="11" customFormat="false" ht="15" hidden="false" customHeight="false" outlineLevel="0" collapsed="false">
      <c r="A11" s="2" t="s">
        <v>258</v>
      </c>
      <c r="B11" s="3" t="n">
        <v>21100108</v>
      </c>
      <c r="C11" s="5" t="s">
        <v>254</v>
      </c>
    </row>
    <row r="12" customFormat="false" ht="15" hidden="false" customHeight="false" outlineLevel="0" collapsed="false">
      <c r="A12" s="2" t="s">
        <v>1</v>
      </c>
      <c r="B12" s="3" t="n">
        <v>-5958481402</v>
      </c>
      <c r="C12" s="5" t="s">
        <v>259</v>
      </c>
    </row>
    <row r="13" customFormat="false" ht="15" hidden="false" customHeight="false" outlineLevel="0" collapsed="false">
      <c r="A13" s="2" t="s">
        <v>2</v>
      </c>
      <c r="B13" s="3" t="n">
        <v>-2421018440</v>
      </c>
      <c r="C13" s="5" t="s">
        <v>259</v>
      </c>
    </row>
    <row r="14" customFormat="false" ht="15" hidden="false" customHeight="false" outlineLevel="0" collapsed="false">
      <c r="A14" s="2" t="s">
        <v>4</v>
      </c>
      <c r="B14" s="3" t="n">
        <v>-354897743</v>
      </c>
      <c r="C14" s="5" t="s">
        <v>259</v>
      </c>
    </row>
    <row r="15" customFormat="false" ht="15" hidden="false" customHeight="false" outlineLevel="0" collapsed="false">
      <c r="A15" s="2" t="s">
        <v>5</v>
      </c>
      <c r="B15" s="3" t="n">
        <v>-139927232</v>
      </c>
      <c r="C15" s="5" t="s">
        <v>259</v>
      </c>
    </row>
    <row r="16" customFormat="false" ht="15" hidden="false" customHeight="false" outlineLevel="0" collapsed="false">
      <c r="A16" s="2" t="s">
        <v>7</v>
      </c>
      <c r="B16" s="3" t="n">
        <v>-105185865</v>
      </c>
      <c r="C16" s="5" t="s">
        <v>259</v>
      </c>
    </row>
    <row r="17" customFormat="false" ht="15" hidden="false" customHeight="false" outlineLevel="0" collapsed="false">
      <c r="A17" s="2" t="s">
        <v>231</v>
      </c>
      <c r="B17" s="3" t="n">
        <v>-69366396</v>
      </c>
      <c r="C17" s="5" t="s">
        <v>259</v>
      </c>
    </row>
    <row r="18" customFormat="false" ht="15" hidden="false" customHeight="false" outlineLevel="0" collapsed="false">
      <c r="A18" s="2" t="s">
        <v>260</v>
      </c>
      <c r="B18" s="3" t="n">
        <v>-38087343</v>
      </c>
      <c r="C18" s="5" t="s">
        <v>259</v>
      </c>
    </row>
    <row r="19" customFormat="false" ht="15" hidden="false" customHeight="false" outlineLevel="0" collapsed="false">
      <c r="A19" s="2" t="s">
        <v>194</v>
      </c>
      <c r="B19" s="3" t="n">
        <v>-32598663</v>
      </c>
      <c r="C19" s="5" t="s">
        <v>259</v>
      </c>
    </row>
    <row r="20" customFormat="false" ht="15" hidden="false" customHeight="false" outlineLevel="0" collapsed="false">
      <c r="A20" s="2" t="s">
        <v>261</v>
      </c>
      <c r="B20" s="3" t="n">
        <v>-30497568</v>
      </c>
      <c r="C20" s="5" t="s">
        <v>259</v>
      </c>
    </row>
    <row r="21" customFormat="false" ht="15" hidden="false" customHeight="false" outlineLevel="0" collapsed="false">
      <c r="A21" s="2" t="s">
        <v>262</v>
      </c>
      <c r="B21" s="3" t="n">
        <v>-28934762</v>
      </c>
      <c r="C21" s="5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9" t="s">
        <v>263</v>
      </c>
    </row>
    <row r="3" customFormat="false" ht="15" hidden="false" customHeight="false" outlineLevel="0" collapsed="false">
      <c r="A3" s="10" t="s">
        <v>264</v>
      </c>
    </row>
    <row r="4" customFormat="false" ht="15" hidden="false" customHeight="false" outlineLevel="0" collapsed="false">
      <c r="A4" s="0" t="s">
        <v>265</v>
      </c>
    </row>
    <row r="5" customFormat="false" ht="15" hidden="false" customHeight="false" outlineLevel="0" collapsed="false">
      <c r="A5" s="0" t="s">
        <v>266</v>
      </c>
    </row>
    <row r="7" customFormat="false" ht="15" hidden="false" customHeight="false" outlineLevel="0" collapsed="false">
      <c r="A7" s="10" t="s">
        <v>267</v>
      </c>
    </row>
    <row r="8" customFormat="false" ht="15" hidden="false" customHeight="false" outlineLevel="0" collapsed="false">
      <c r="A8" s="0" t="s">
        <v>268</v>
      </c>
    </row>
    <row r="9" customFormat="false" ht="15" hidden="false" customHeight="false" outlineLevel="0" collapsed="false">
      <c r="A9" s="0" t="s">
        <v>269</v>
      </c>
    </row>
    <row r="10" customFormat="false" ht="15" hidden="false" customHeight="false" outlineLevel="0" collapsed="false">
      <c r="A10" s="0" t="s">
        <v>270</v>
      </c>
    </row>
    <row r="11" customFormat="false" ht="15" hidden="false" customHeight="false" outlineLevel="0" collapsed="false">
      <c r="A11" s="0" t="s">
        <v>271</v>
      </c>
    </row>
    <row r="13" customFormat="false" ht="15" hidden="false" customHeight="false" outlineLevel="0" collapsed="false">
      <c r="A13" s="10" t="s">
        <v>272</v>
      </c>
    </row>
    <row r="15" customFormat="false" ht="15" hidden="false" customHeight="false" outlineLevel="0" collapsed="false">
      <c r="A15" s="10" t="s">
        <v>273</v>
      </c>
    </row>
    <row r="16" customFormat="false" ht="15" hidden="false" customHeight="false" outlineLevel="0" collapsed="false">
      <c r="A16" s="0" t="s">
        <v>274</v>
      </c>
    </row>
    <row r="17" customFormat="false" ht="15" hidden="false" customHeight="false" outlineLevel="0" collapsed="false">
      <c r="A17" s="0" t="s">
        <v>275</v>
      </c>
    </row>
    <row r="18" customFormat="false" ht="15" hidden="false" customHeight="false" outlineLevel="0" collapsed="false">
      <c r="A18" s="0" t="s">
        <v>276</v>
      </c>
    </row>
    <row r="19" customFormat="false" ht="15" hidden="false" customHeight="false" outlineLevel="0" collapsed="false">
      <c r="A19" s="0" t="s">
        <v>277</v>
      </c>
    </row>
    <row r="20" customFormat="false" ht="15" hidden="false" customHeight="false" outlineLevel="0" collapsed="false">
      <c r="A20" s="0" t="s">
        <v>278</v>
      </c>
    </row>
    <row r="22" customFormat="false" ht="15" hidden="false" customHeight="false" outlineLevel="0" collapsed="false">
      <c r="A22" s="10" t="s">
        <v>279</v>
      </c>
    </row>
    <row r="23" customFormat="false" ht="15" hidden="false" customHeight="false" outlineLevel="0" collapsed="false">
      <c r="A23" s="0" t="s">
        <v>280</v>
      </c>
    </row>
    <row r="24" customFormat="false" ht="15" hidden="false" customHeight="false" outlineLevel="0" collapsed="false">
      <c r="A24" s="0" t="s">
        <v>281</v>
      </c>
    </row>
    <row r="25" customFormat="false" ht="15" hidden="false" customHeight="false" outlineLevel="0" collapsed="false">
      <c r="A25" s="0" t="s">
        <v>282</v>
      </c>
    </row>
    <row r="27" customFormat="false" ht="15" hidden="false" customHeight="false" outlineLevel="0" collapsed="false">
      <c r="A27" s="0" t="s">
        <v>283</v>
      </c>
    </row>
    <row r="28" customFormat="false" ht="15" hidden="false" customHeight="false" outlineLevel="0" collapsed="false">
      <c r="A28" s="10" t="s">
        <v>284</v>
      </c>
    </row>
    <row r="29" customFormat="false" ht="15" hidden="false" customHeight="false" outlineLevel="0" collapsed="false">
      <c r="A29" s="0" t="s">
        <v>285</v>
      </c>
    </row>
    <row r="30" customFormat="false" ht="15" hidden="false" customHeight="false" outlineLevel="0" collapsed="false">
      <c r="A30" s="0" t="s">
        <v>286</v>
      </c>
    </row>
    <row r="32" customFormat="false" ht="15" hidden="false" customHeight="false" outlineLevel="0" collapsed="false">
      <c r="A32" s="0" t="s">
        <v>287</v>
      </c>
    </row>
    <row r="33" customFormat="false" ht="15" hidden="false" customHeight="false" outlineLevel="0" collapsed="false">
      <c r="A33" s="10" t="s">
        <v>288</v>
      </c>
    </row>
    <row r="34" customFormat="false" ht="15" hidden="false" customHeight="false" outlineLevel="0" collapsed="false">
      <c r="A34" s="0" t="s">
        <v>289</v>
      </c>
    </row>
    <row r="36" customFormat="false" ht="15" hidden="false" customHeight="false" outlineLevel="0" collapsed="false">
      <c r="A36" s="0" t="s">
        <v>290</v>
      </c>
    </row>
    <row r="37" customFormat="false" ht="15" hidden="false" customHeight="false" outlineLevel="0" collapsed="false">
      <c r="A37" s="10" t="s">
        <v>291</v>
      </c>
    </row>
    <row r="38" customFormat="false" ht="15" hidden="false" customHeight="false" outlineLevel="0" collapsed="false">
      <c r="A38" s="0" t="s">
        <v>292</v>
      </c>
    </row>
    <row r="39" customFormat="false" ht="15" hidden="false" customHeight="false" outlineLevel="0" collapsed="false">
      <c r="A39" s="0" t="s">
        <v>293</v>
      </c>
    </row>
    <row r="41" customFormat="false" ht="15" hidden="false" customHeight="false" outlineLevel="0" collapsed="false">
      <c r="A41" s="10" t="s">
        <v>294</v>
      </c>
    </row>
    <row r="42" customFormat="false" ht="15" hidden="false" customHeight="false" outlineLevel="0" collapsed="false">
      <c r="A42" s="0" t="s">
        <v>295</v>
      </c>
    </row>
    <row r="43" customFormat="false" ht="15" hidden="false" customHeight="false" outlineLevel="0" collapsed="false">
      <c r="A43" s="0" t="s">
        <v>296</v>
      </c>
    </row>
    <row r="44" customFormat="false" ht="15" hidden="false" customHeight="false" outlineLevel="0" collapsed="false">
      <c r="A44" s="0" t="s">
        <v>297</v>
      </c>
    </row>
    <row r="45" customFormat="false" ht="15" hidden="false" customHeight="false" outlineLevel="0" collapsed="false">
      <c r="A45" s="0" t="s">
        <v>298</v>
      </c>
    </row>
    <row r="46" customFormat="false" ht="15" hidden="false" customHeight="false" outlineLevel="0" collapsed="false">
      <c r="A46" s="10"/>
    </row>
    <row r="47" customFormat="false" ht="15" hidden="false" customHeight="false" outlineLevel="0" collapsed="false">
      <c r="A47" s="0" t="s">
        <v>299</v>
      </c>
    </row>
    <row r="48" customFormat="false" ht="15" hidden="false" customHeight="false" outlineLevel="0" collapsed="false">
      <c r="A48" s="0" t="s">
        <v>300</v>
      </c>
    </row>
    <row r="49" customFormat="false" ht="15" hidden="false" customHeight="false" outlineLevel="0" collapsed="false">
      <c r="A49" s="0" t="s">
        <v>301</v>
      </c>
    </row>
    <row r="50" customFormat="false" ht="15" hidden="false" customHeight="false" outlineLevel="0" collapsed="false">
      <c r="A50" s="0" t="s">
        <v>302</v>
      </c>
    </row>
    <row r="51" customFormat="false" ht="15" hidden="false" customHeight="false" outlineLevel="0" collapsed="false">
      <c r="A51" s="10" t="s">
        <v>303</v>
      </c>
    </row>
    <row r="53" customFormat="false" ht="15" hidden="false" customHeight="false" outlineLevel="0" collapsed="false">
      <c r="A53" s="0" t="s">
        <v>304</v>
      </c>
    </row>
    <row r="54" customFormat="false" ht="15" hidden="false" customHeight="false" outlineLevel="0" collapsed="false">
      <c r="A54" s="0" t="s">
        <v>305</v>
      </c>
    </row>
    <row r="55" customFormat="false" ht="15" hidden="false" customHeight="false" outlineLevel="0" collapsed="false">
      <c r="A55" s="0" t="s">
        <v>306</v>
      </c>
    </row>
    <row r="56" customFormat="false" ht="15" hidden="false" customHeight="false" outlineLevel="0" collapsed="false">
      <c r="A56" s="0" t="s">
        <v>307</v>
      </c>
    </row>
    <row r="57" customFormat="false" ht="15" hidden="false" customHeight="false" outlineLevel="0" collapsed="false">
      <c r="A57" s="0" t="s">
        <v>308</v>
      </c>
    </row>
    <row r="58" customFormat="false" ht="15" hidden="false" customHeight="false" outlineLevel="0" collapsed="false">
      <c r="A58" s="0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2026-05-23T07:37:40Z</dcterms:created>
  <dc:creator>openpyxl</dc:creator>
  <dc:description/>
  <dc:language>en-US</dc:language>
  <cp:lastModifiedBy/>
  <dcterms:modified xsi:type="dcterms:W3CDTF">2026-05-23T07:37:40Z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